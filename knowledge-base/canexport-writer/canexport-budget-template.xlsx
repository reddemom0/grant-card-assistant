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pproval" sheetId="1" r:id="rId4"/>
    <sheet state="hidden" name="Claims" sheetId="2" r:id="rId5"/>
    <sheet state="visible" name="Instructions" sheetId="3" r:id="rId6"/>
    <sheet state="visible" name="Export Sales" sheetId="4" r:id="rId7"/>
    <sheet state="visible" name="Budget" sheetId="5" r:id="rId8"/>
    <sheet state="visible" name="Targets" sheetId="6" r:id="rId9"/>
    <sheet state="visible" name="Example Budget" sheetId="7" r:id="rId10"/>
    <sheet state="visible" name="Example Export Sales" sheetId="8" r:id="rId11"/>
    <sheet state="visible" name="Example Targets" sheetId="9" r:id="rId12"/>
    <sheet state="visible" name="Countries with Regions" sheetId="10" r:id="rId13"/>
    <sheet state="visible" name="Eligible Activities" sheetId="11" r:id="rId14"/>
    <sheet state="visible" name="Ineligible Expenses"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
      <text>
        <t xml:space="preserve">No Monthly Retainer invoices allowed, all invoices must be project based and relevant to the target market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No sooner than 60 business days from date of submission. </t>
      </text>
    </comment>
    <comment authorId="0" ref="C14">
      <text>
        <t xml:space="preserve">Legal costs for contract adoption goes here, not Category F</t>
      </text>
    </comment>
    <comment authorId="0" ref="C31">
      <text>
        <t xml:space="preserve">Legal costs for contract adoption goes here, not Category F</t>
      </text>
    </comment>
    <comment authorId="0" ref="C48">
      <text>
        <t xml:space="preserve">Legal costs for contract adoption goes here, not Category 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No sooner than 60 business days from date of submission. </t>
      </text>
    </comment>
  </commentList>
</comments>
</file>

<file path=xl/sharedStrings.xml><?xml version="1.0" encoding="utf-8"?>
<sst xmlns="http://schemas.openxmlformats.org/spreadsheetml/2006/main" count="1246" uniqueCount="698">
  <si>
    <t>Notes from Funding Agreement:</t>
  </si>
  <si>
    <t>1) Contribution, not a grant, so it is a claim back process</t>
  </si>
  <si>
    <t>2) Applied for activities to end MONTH XX; they arbitrarily extended to MONTH XX</t>
  </si>
  <si>
    <t>Suggested Reporting Period: every X weeks from MONTH XX onwards</t>
  </si>
  <si>
    <t>3) Funding approved was $XX,XXX; based on total budget of $XX,XXX</t>
  </si>
  <si>
    <t>4) Funding can include a combination of ANY of the activities below</t>
  </si>
  <si>
    <t xml:space="preserve">5) Funding in one fiscal year, QX (MONTH to MONTH): $XX,XXX spend ($XX,XXX grant) </t>
  </si>
  <si>
    <t>Category</t>
  </si>
  <si>
    <t>Activity</t>
  </si>
  <si>
    <t>Total Cost</t>
  </si>
  <si>
    <t>Approved?</t>
  </si>
  <si>
    <t>Vendor</t>
  </si>
  <si>
    <t>Details</t>
  </si>
  <si>
    <t>Expected Outcomes</t>
  </si>
  <si>
    <t>Verbiage of Invoices</t>
  </si>
  <si>
    <t>Total</t>
  </si>
  <si>
    <t>Total Budget Allowed</t>
  </si>
  <si>
    <t>Total Grant Approved</t>
  </si>
  <si>
    <t>LEGEND</t>
  </si>
  <si>
    <t>Category A</t>
  </si>
  <si>
    <t>Category D</t>
  </si>
  <si>
    <t>Category B</t>
  </si>
  <si>
    <t>Category F</t>
  </si>
  <si>
    <t>Category C</t>
  </si>
  <si>
    <t>Category G</t>
  </si>
  <si>
    <t>Invoice Number</t>
  </si>
  <si>
    <t>Expense Date</t>
  </si>
  <si>
    <t>Subtotal</t>
  </si>
  <si>
    <t>Grant (50%)</t>
  </si>
  <si>
    <t>Payment Received</t>
  </si>
  <si>
    <t>Claim No.</t>
  </si>
  <si>
    <t>Detail</t>
  </si>
  <si>
    <t>Comments</t>
  </si>
  <si>
    <t>E.g. Hannah Smith</t>
  </si>
  <si>
    <t>123123</t>
  </si>
  <si>
    <t>Pending</t>
  </si>
  <si>
    <t>E</t>
  </si>
  <si>
    <t>Trademark registration</t>
  </si>
  <si>
    <t>Had to change vendors</t>
  </si>
  <si>
    <t xml:space="preserve">Total Budget </t>
  </si>
  <si>
    <t>For FY 22/23</t>
  </si>
  <si>
    <t>Claim 1:</t>
  </si>
  <si>
    <t>Total Grant for FY</t>
  </si>
  <si>
    <t>For FY 23/24</t>
  </si>
  <si>
    <t>Claim 2:</t>
  </si>
  <si>
    <t>Spend to Date</t>
  </si>
  <si>
    <t>Claim 3:</t>
  </si>
  <si>
    <t>Balance</t>
  </si>
  <si>
    <t>Total:</t>
  </si>
  <si>
    <t>Instructions: Please complete the blue tabs only. Additional instructions for each blue tab are provided below</t>
  </si>
  <si>
    <t>Blue Tabs - Must be filled out</t>
  </si>
  <si>
    <t>A. Export Sales</t>
  </si>
  <si>
    <t>This is where you declare your export sales during the company’s last complete tax reporting year. 
In your application, you must disclose export sales for the chosen sub-national market, as well as total export sales for that country.</t>
  </si>
  <si>
    <t>Please provide export sales in Canadian Dollars</t>
  </si>
  <si>
    <r>
      <rPr>
        <rFont val="Arial"/>
        <color rgb="FF000000"/>
      </rPr>
      <t xml:space="preserve">If Annual GST filers, use the sales numbers from your last fiscal year </t>
    </r>
    <r>
      <rPr>
        <rFont val="Arial"/>
        <b/>
        <color rgb="FFFF0000"/>
      </rPr>
      <t>must provide last GST return with application</t>
    </r>
  </si>
  <si>
    <r>
      <rPr>
        <rFont val="Arial"/>
        <color rgb="FF000000"/>
      </rPr>
      <t xml:space="preserve">If Monthly or Quarterly GST filers, use the sales numbers for the last 12 months </t>
    </r>
    <r>
      <rPr>
        <rFont val="Arial"/>
        <b/>
        <color rgb="FFFF0000"/>
      </rPr>
      <t>must provide last GST return with application.</t>
    </r>
  </si>
  <si>
    <t>B. Budget</t>
  </si>
  <si>
    <t xml:space="preserve">This is where you plan your activities and expenses for the CanExport project. Only expenses that have NOT been incurred yet AND will only be incurred after your grant is approved will be considered eligible for reimbursement or count towards your 25% contribution. </t>
  </si>
  <si>
    <r>
      <rPr>
        <rFont val="Arial"/>
        <b/>
        <color theme="1"/>
      </rPr>
      <t>Step 1:</t>
    </r>
    <r>
      <rPr>
        <rFont val="Arial"/>
        <color theme="1"/>
      </rPr>
      <t xml:space="preserve"> Beginning in Column I - enter the start and end date of your project. Note the start date must be at least 60 business days from submission</t>
    </r>
  </si>
  <si>
    <r>
      <rPr>
        <rFont val="Arial"/>
        <b/>
        <color rgb="FF000000"/>
      </rPr>
      <t xml:space="preserve">Step 2: </t>
    </r>
    <r>
      <rPr>
        <rFont val="Arial"/>
        <color rgb="FF000000"/>
      </rPr>
      <t xml:space="preserve">Your markets have already been added and a list of all eligible activities are already provided in Colum C under each market.   
Select the project activities for your project and provide as much detail as possible about your project activities in each market.
Its okay if you do not have all the information right now. </t>
    </r>
    <r>
      <rPr>
        <rFont val="Arial"/>
        <b/>
        <color rgb="FF000000"/>
      </rPr>
      <t>At minimum you should fill out columns E, G, and I for each of activity.</t>
    </r>
    <r>
      <rPr>
        <rFont val="Arial"/>
        <color rgb="FF000000"/>
      </rPr>
      <t xml:space="preserve">
For more information about eligible project activities/expenses, please refer to the Yellow tabs</t>
    </r>
  </si>
  <si>
    <r>
      <rPr>
        <rFont val="Arial"/>
        <b/>
        <color rgb="FF000000"/>
      </rPr>
      <t>Step 3:</t>
    </r>
    <r>
      <rPr>
        <rFont val="Arial"/>
        <color rgb="FF000000"/>
      </rPr>
      <t xml:space="preserve"> Once complete, your consultant will review and provide further instructions / next steps</t>
    </r>
  </si>
  <si>
    <t>C. Targets</t>
  </si>
  <si>
    <t xml:space="preserve">This is where you list the types of clients or partners that you will be targeting for this project. They must be in the selected target market. </t>
  </si>
  <si>
    <t xml:space="preserve">Please indicate names of potential clients or partners you are targetting for this project, ideally at least 10. </t>
  </si>
  <si>
    <t>Yellow Tabs - Examples (for reference only)</t>
  </si>
  <si>
    <t>A. Export Sales Example</t>
  </si>
  <si>
    <t>B. Budget Example</t>
  </si>
  <si>
    <t>C. Targets Example</t>
  </si>
  <si>
    <t>Red Tabs - Additional Grant information (for reference only)</t>
  </si>
  <si>
    <t>A. Country with Regions (USA, Brazil, China, India)</t>
  </si>
  <si>
    <t>B. Eligible Activities</t>
  </si>
  <si>
    <t>C. Ineligible Activities</t>
  </si>
  <si>
    <t>Please provide in Canadian Dollars</t>
  </si>
  <si>
    <t>Total Export Sales
(12 months)</t>
  </si>
  <si>
    <t>If Annual GST filers, use the sales numbers from your last fiscal year.</t>
  </si>
  <si>
    <t>Total Export Sales 
(12-24 months)</t>
  </si>
  <si>
    <r>
      <rPr>
        <rFont val="Arial"/>
        <b/>
        <color rgb="FF990000"/>
        <sz val="11.0"/>
      </rPr>
      <t xml:space="preserve">If Monthly or Quarterly GST filers, use the sales numbers for the last 12 months.
</t>
    </r>
    <r>
      <rPr>
        <rFont val="Arial"/>
        <b val="0"/>
        <color rgb="FF0000FF"/>
        <sz val="11.0"/>
      </rPr>
      <t>Please provide us with a copy of your last GST return &amp; Articles of Incorporation</t>
    </r>
  </si>
  <si>
    <t>Total Company Revenue  
(12 months)</t>
  </si>
  <si>
    <t xml:space="preserve">Please indicate if you are: </t>
  </si>
  <si>
    <t>Pls provide</t>
  </si>
  <si>
    <t>Annual GST Filer</t>
  </si>
  <si>
    <t>Month of Fiscal Year End:</t>
  </si>
  <si>
    <t>Monthly or Quarterly GST Filer</t>
  </si>
  <si>
    <t>North America</t>
  </si>
  <si>
    <t>Sales in previous 
12 months (C$) or in last fiscal year</t>
  </si>
  <si>
    <t>Sales from previous 12 to 24 months (C$)</t>
  </si>
  <si>
    <t>US West</t>
  </si>
  <si>
    <t>Alaska</t>
  </si>
  <si>
    <t>Arizona</t>
  </si>
  <si>
    <t>California</t>
  </si>
  <si>
    <t>Colorado</t>
  </si>
  <si>
    <t>Hawaii</t>
  </si>
  <si>
    <t>Idaho</t>
  </si>
  <si>
    <t>Kansas</t>
  </si>
  <si>
    <t>Montana</t>
  </si>
  <si>
    <t>Nevada</t>
  </si>
  <si>
    <t>Oregon</t>
  </si>
  <si>
    <t>Utah</t>
  </si>
  <si>
    <t>Washington</t>
  </si>
  <si>
    <t>Wyoming</t>
  </si>
  <si>
    <t>US Midwest</t>
  </si>
  <si>
    <t>Illinois</t>
  </si>
  <si>
    <t>Indiana</t>
  </si>
  <si>
    <t>Iowa</t>
  </si>
  <si>
    <t>Kentucky</t>
  </si>
  <si>
    <t>Michigan</t>
  </si>
  <si>
    <t>Minnesota</t>
  </si>
  <si>
    <t>Missouri</t>
  </si>
  <si>
    <t>Nebraska</t>
  </si>
  <si>
    <t>North Dakota</t>
  </si>
  <si>
    <t>Ohio</t>
  </si>
  <si>
    <t>South Dakota</t>
  </si>
  <si>
    <t>Wisconsin</t>
  </si>
  <si>
    <t>US Northeast</t>
  </si>
  <si>
    <t>Conneticut</t>
  </si>
  <si>
    <t>Delaware</t>
  </si>
  <si>
    <t>Maine</t>
  </si>
  <si>
    <t>Masachusetts</t>
  </si>
  <si>
    <t>New Hampshire</t>
  </si>
  <si>
    <t>New Jersey</t>
  </si>
  <si>
    <t>New York</t>
  </si>
  <si>
    <t>Pennsylvania</t>
  </si>
  <si>
    <t>Rhode Island</t>
  </si>
  <si>
    <t>Vermont</t>
  </si>
  <si>
    <t>US South</t>
  </si>
  <si>
    <t>Alabama</t>
  </si>
  <si>
    <t>Arkansas</t>
  </si>
  <si>
    <t>District of Columbia</t>
  </si>
  <si>
    <t>Florida</t>
  </si>
  <si>
    <t>Georgia</t>
  </si>
  <si>
    <t>Louisiana</t>
  </si>
  <si>
    <t>Maryland</t>
  </si>
  <si>
    <t>Mississippi</t>
  </si>
  <si>
    <t>New Mexico</t>
  </si>
  <si>
    <t>North Carolina</t>
  </si>
  <si>
    <t>Oklahoma</t>
  </si>
  <si>
    <t>Puerto Rico</t>
  </si>
  <si>
    <t>South Carolina</t>
  </si>
  <si>
    <t>Tennessee</t>
  </si>
  <si>
    <t>Texas</t>
  </si>
  <si>
    <t>US Virgin Islands</t>
  </si>
  <si>
    <t>Virginia</t>
  </si>
  <si>
    <t>West Virginia</t>
  </si>
  <si>
    <t>Mexico</t>
  </si>
  <si>
    <t>Europe</t>
  </si>
  <si>
    <t>Albania</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</si>
  <si>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</si>
  <si>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</si>
  <si>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</si>
  <si>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</si>
  <si>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</si>
  <si>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</si>
  <si>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</si>
  <si>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</si>
  <si>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</si>
  <si>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</si>
  <si>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</si>
  <si>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</si>
  <si>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</si>
  <si>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</si>
  <si>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</si>
  <si>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</si>
  <si>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</si>
  <si>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</si>
  <si>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</si>
  <si>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</si>
  <si>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Norway</t>
  </si>
  <si>
    <t>Poland</t>
  </si>
  <si>
    <t>Portugal</t>
  </si>
  <si>
    <t>Romania</t>
  </si>
  <si>
    <t>Serbia</t>
  </si>
  <si>
    <t>Slovakia</t>
  </si>
  <si>
    <t>Slovenia</t>
  </si>
  <si>
    <t>Spain</t>
  </si>
  <si>
    <t>Sweden</t>
  </si>
  <si>
    <t>Switzerland</t>
  </si>
  <si>
    <t>Turkey</t>
  </si>
  <si>
    <t>Ukraine</t>
  </si>
  <si>
    <t>United Kingdom</t>
  </si>
  <si>
    <t>Asia</t>
  </si>
  <si>
    <t>Afghanistan</t>
  </si>
  <si>
    <t>Armenia</t>
  </si>
  <si>
    <t>Azerbaijan</t>
  </si>
  <si>
    <t>Bahrain</t>
  </si>
  <si>
    <t>Bangladesh</t>
  </si>
  <si>
    <t>Bhutan</t>
  </si>
  <si>
    <t>Brunei</t>
  </si>
  <si>
    <t>Cambodia</t>
  </si>
  <si>
    <t>China</t>
  </si>
  <si>
    <t>Hong Kong</t>
  </si>
  <si>
    <t>India</t>
  </si>
  <si>
    <t>Indonesia</t>
  </si>
  <si>
    <t>Iran</t>
  </si>
  <si>
    <t>Iraq</t>
  </si>
  <si>
    <t>Israel</t>
  </si>
  <si>
    <t>Japan</t>
  </si>
  <si>
    <t>Jordan</t>
  </si>
  <si>
    <t>Kazakhstan</t>
  </si>
  <si>
    <t>Kuwait</t>
  </si>
  <si>
    <t>Kyrgyzstan</t>
  </si>
  <si>
    <t>Laos</t>
  </si>
  <si>
    <t>Lebanon</t>
  </si>
  <si>
    <t>Macao</t>
  </si>
  <si>
    <t>Malaysia</t>
  </si>
  <si>
    <t>Maldives</t>
  </si>
  <si>
    <t>Mongolia</t>
  </si>
  <si>
    <t>Myanmar</t>
  </si>
  <si>
    <t>Nepal</t>
  </si>
  <si>
    <t>North Korea</t>
  </si>
  <si>
    <t>Oman</t>
  </si>
  <si>
    <t>Pakistan</t>
  </si>
  <si>
    <t>Philippines</t>
  </si>
  <si>
    <t>Qatar</t>
  </si>
  <si>
    <t>Saudi Arabia</t>
  </si>
  <si>
    <t>Singapore</t>
  </si>
  <si>
    <t>South Korea</t>
  </si>
  <si>
    <t>Sri Lanka</t>
  </si>
  <si>
    <t>State of Palestine</t>
  </si>
  <si>
    <t>Syria</t>
  </si>
  <si>
    <t>Taiwan</t>
  </si>
  <si>
    <t>Tajikistan</t>
  </si>
  <si>
    <t>Thailand</t>
  </si>
  <si>
    <t>Timor-Leste</t>
  </si>
  <si>
    <t>Turkmenistan</t>
  </si>
  <si>
    <t>United Arab Emirates</t>
  </si>
  <si>
    <t>Uzbekistan</t>
  </si>
  <si>
    <t>Vietnam</t>
  </si>
  <si>
    <t>Yemen</t>
  </si>
  <si>
    <t>South America</t>
  </si>
  <si>
    <t>Argentina</t>
  </si>
  <si>
    <t>Bolivia</t>
  </si>
  <si>
    <t>Brazil</t>
  </si>
  <si>
    <t>Chile</t>
  </si>
  <si>
    <t>Colombia</t>
  </si>
  <si>
    <t>Ecuador</t>
  </si>
  <si>
    <t>Falkland Islands</t>
  </si>
  <si>
    <t>French Guiana</t>
  </si>
  <si>
    <t>Guyana</t>
  </si>
  <si>
    <t>Paraguay</t>
  </si>
  <si>
    <t>Peru</t>
  </si>
  <si>
    <t>Suriname</t>
  </si>
  <si>
    <t>Uruguay</t>
  </si>
  <si>
    <t>Venezuela</t>
  </si>
  <si>
    <t>Asia-Pacific</t>
  </si>
  <si>
    <t>Australia</t>
  </si>
  <si>
    <t>Fiji</t>
  </si>
  <si>
    <t>New Zealand</t>
  </si>
  <si>
    <t>Others:</t>
  </si>
  <si>
    <t>Africa</t>
  </si>
  <si>
    <t>Algeria</t>
  </si>
  <si>
    <t>Angola</t>
  </si>
  <si>
    <t>Benin</t>
  </si>
  <si>
    <t>Botswana</t>
  </si>
  <si>
    <t>Burkina Faso</t>
  </si>
  <si>
    <t>Burundi</t>
  </si>
  <si>
    <t>Cameroon</t>
  </si>
  <si>
    <t>Cape Verde</t>
  </si>
  <si>
    <t>Central African Republic</t>
  </si>
  <si>
    <t>Chad</t>
  </si>
  <si>
    <t>Camoros</t>
  </si>
  <si>
    <t>Democratic Republic of the Congo</t>
  </si>
  <si>
    <t>Republic of the Congo</t>
  </si>
  <si>
    <t>Djibouti</t>
  </si>
  <si>
    <t>Egypt</t>
  </si>
  <si>
    <t>Equatorial Guinea</t>
  </si>
  <si>
    <t>Eritrea</t>
  </si>
  <si>
    <t>Ethiopia</t>
  </si>
  <si>
    <t>Gabon</t>
  </si>
  <si>
    <t>Gambia</t>
  </si>
  <si>
    <t>Ghana</t>
  </si>
  <si>
    <t>Guinea</t>
  </si>
  <si>
    <t>Guinea-Bissau</t>
  </si>
  <si>
    <t>Ivory Coast</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</si>
  <si>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</si>
  <si>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</si>
  <si>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</si>
  <si>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</si>
  <si>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</si>
  <si>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</si>
  <si>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</si>
  <si>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</si>
  <si>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</si>
  <si>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</si>
  <si>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</si>
  <si>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</si>
  <si>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</si>
  <si>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</si>
  <si>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</si>
  <si>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</si>
  <si>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</si>
  <si>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</si>
  <si>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</si>
  <si>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</si>
  <si>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Africa</t>
  </si>
  <si>
    <t>South Sudan</t>
  </si>
  <si>
    <t>Sudan</t>
  </si>
  <si>
    <t>Swaziland</t>
  </si>
  <si>
    <t>Tanzania</t>
  </si>
  <si>
    <t>Togo</t>
  </si>
  <si>
    <t>Tunisia</t>
  </si>
  <si>
    <t>Uganda</t>
  </si>
  <si>
    <t>Zambia</t>
  </si>
  <si>
    <t>Zimbabwe</t>
  </si>
  <si>
    <t xml:space="preserve">Company: </t>
  </si>
  <si>
    <t xml:space="preserve">Market(s): </t>
  </si>
  <si>
    <r>
      <rPr>
        <rFont val="Arial"/>
        <b/>
        <color rgb="FF000000"/>
      </rPr>
      <t>Instructions:</t>
    </r>
    <r>
      <rPr>
        <rFont val="Arial"/>
        <b val="0"/>
        <color rgb="FF000000"/>
      </rPr>
      <t xml:space="preserve"> Please fill in the expected timing, budget, details, and outcomes relevant to the activities listed in Column C, each Category may have multiple vendors in the same line.</t>
    </r>
  </si>
  <si>
    <r>
      <rPr>
        <rFont val="arial,sans,sans-serif"/>
        <b/>
        <color rgb="FF000000"/>
      </rPr>
      <t xml:space="preserve">Note: </t>
    </r>
    <r>
      <rPr>
        <rFont val="arial,sans,sans-serif"/>
        <b val="0"/>
        <color rgb="FF000000"/>
        <u/>
      </rPr>
      <t>Expenses already incurred are INELIGIBLE. Applicant must be reliant on grant funding for eligible activities.</t>
    </r>
    <r>
      <rPr>
        <rFont val="arial,sans,sans-serif"/>
        <b val="0"/>
        <color rgb="FF000000"/>
      </rPr>
      <t xml:space="preserve">
See the 'Eligible Activities' tab when filling out the table to ensure selected activities are eligible for this program. 
See the Ineligible Activities link in cell B24 for more information, and B25 with general specifics.</t>
    </r>
  </si>
  <si>
    <t>Project Start: Start Date</t>
  </si>
  <si>
    <r>
      <rPr>
        <rFont val="arial,sans,sans-serif"/>
        <b/>
        <color theme="1"/>
        <sz val="10.0"/>
      </rPr>
      <t>Project End:</t>
    </r>
    <r>
      <rPr>
        <rFont val="arial,sans,sans-serif"/>
        <b/>
        <color rgb="FFFF0000"/>
        <sz val="10.0"/>
      </rPr>
      <t xml:space="preserve"> March 31st 2026</t>
    </r>
  </si>
  <si>
    <t>Please indicate target customers in the 'Targets' Sheet</t>
  </si>
  <si>
    <t>Used For</t>
  </si>
  <si>
    <t>Start Date</t>
  </si>
  <si>
    <t>End Date</t>
  </si>
  <si>
    <t>Vendor Name</t>
  </si>
  <si>
    <r>
      <rPr>
        <rFont val="Arial"/>
        <b/>
        <color rgb="FF000000"/>
      </rPr>
      <t>Region 1:</t>
    </r>
    <r>
      <rPr>
        <rFont val="Arial"/>
        <b/>
        <color rgb="FFFF0000"/>
      </rPr>
      <t xml:space="preserve"> Please advise (if you go to the U.S., you can't choose another foreign market) &amp; vice versa</t>
    </r>
  </si>
  <si>
    <t>A</t>
  </si>
  <si>
    <r>
      <rPr>
        <rFont val="Arial"/>
        <b/>
        <color rgb="FF000000"/>
      </rPr>
      <t>Travel For Events or Meetings with Key Contacts</t>
    </r>
    <r>
      <rPr>
        <rFont val="Arial"/>
        <b/>
        <color rgb="FF000000"/>
        <sz val="9.0"/>
      </rPr>
      <t xml:space="preserve"> </t>
    </r>
    <r>
      <rPr>
        <rFont val="Arial"/>
        <color rgb="FF000000"/>
        <sz val="9.0"/>
      </rPr>
      <t>(max 2 individuals)
inludes: refundable airfaire with seat selection/baggage fees, and ground transportation via rental car/ride-share/taxi/bus/subway, mandatory visa fees</t>
    </r>
    <r>
      <rPr>
        <rFont val="Arial"/>
        <color rgb="FF000000"/>
      </rPr>
      <t xml:space="preserve">  
</t>
    </r>
    <r>
      <rPr>
        <rFont val="Arial"/>
        <b/>
        <i/>
        <color rgb="FFFF0000"/>
        <sz val="9.0"/>
      </rPr>
      <t>INELIGIBLE</t>
    </r>
    <r>
      <rPr>
        <rFont val="Arial"/>
        <i/>
        <color rgb="FFFF0000"/>
        <sz val="9.0"/>
      </rPr>
      <t>: travel within Canada, expenses for employees in target market, reinstating/refund of reward program points, insurance, use of personal vehicle</t>
    </r>
  </si>
  <si>
    <r>
      <rPr>
        <rFont val="Arial"/>
        <b/>
        <color rgb="FF000000"/>
      </rPr>
      <t>Per diem</t>
    </r>
    <r>
      <rPr>
        <rFont val="Arial"/>
        <color rgb="FF000000"/>
      </rPr>
      <t xml:space="preserve"> -</t>
    </r>
    <r>
      <rPr>
        <rFont val="Arial"/>
        <color rgb="FF000000"/>
        <sz val="9.0"/>
      </rPr>
      <t xml:space="preserve"> max $400 per day per approved traveller (max 2)
includes: accomodations, meals, and incidentals
</t>
    </r>
    <r>
      <rPr>
        <rFont val="Arial"/>
        <b/>
        <i/>
        <color rgb="FFFF0000"/>
        <sz val="9.0"/>
      </rPr>
      <t>INELIGIBLE</t>
    </r>
    <r>
      <rPr>
        <rFont val="Arial"/>
        <i/>
        <color rgb="FFFF0000"/>
        <sz val="9.0"/>
      </rPr>
      <t>: long term leases/rentals, cell phone charges, insurance, hospitality entertainment/gifts</t>
    </r>
  </si>
  <si>
    <t>B</t>
  </si>
  <si>
    <r>
      <rPr>
        <rFont val="Arial"/>
        <b/>
        <color rgb="FF000000"/>
      </rPr>
      <t>Trade Events - non-travel related</t>
    </r>
    <r>
      <rPr>
        <rFont val="Arial"/>
        <color rgb="FF000000"/>
      </rPr>
      <t xml:space="preserve"> (max 2 individuals)
</t>
    </r>
    <r>
      <rPr>
        <rFont val="Arial"/>
        <color rgb="FF000000"/>
        <sz val="9.0"/>
      </rPr>
      <t xml:space="preserve">includes: exhibition/registration fees, single-use costs associated with on-site booth deisgn/construction/rental, electrical/WiFi costs, rental of tech, liability insurance, return shipping and handling costs for print marketing materials, booth pop-ups/products, shipping/handling for food samples or prototypes to and from an event
</t>
    </r>
    <r>
      <rPr>
        <rFont val="Arial"/>
        <b/>
        <i/>
        <color rgb="FFFF0000"/>
        <sz val="9.0"/>
      </rPr>
      <t xml:space="preserve">INELIGIBLE: </t>
    </r>
    <r>
      <rPr>
        <rFont val="Arial"/>
        <i/>
        <color rgb="FFFF0000"/>
        <sz val="9.0"/>
      </rPr>
      <t>virtual events, creating/organizing private event/workshop, event sponsorship, events that primarily consist of knowledge-sharing, or keynote/panel speaking through invitation</t>
    </r>
  </si>
  <si>
    <t>C</t>
  </si>
  <si>
    <r>
      <rPr>
        <rFont val="Arial"/>
        <b/>
        <color theme="1"/>
      </rPr>
      <t xml:space="preserve">Marketing Activities - Advertising Costs </t>
    </r>
    <r>
      <rPr>
        <rFont val="Arial"/>
        <b/>
        <color theme="1"/>
        <u/>
      </rPr>
      <t>related to trade event</t>
    </r>
    <r>
      <rPr>
        <rFont val="Arial"/>
        <b/>
        <color theme="1"/>
      </rPr>
      <t xml:space="preserve">
</t>
    </r>
    <r>
      <rPr>
        <rFont val="Arial"/>
        <color theme="1"/>
        <sz val="9.0"/>
      </rPr>
      <t xml:space="preserve">including: online industry publication, online magazines, advertorial, online marketplace ads and banner ads.
</t>
    </r>
    <r>
      <rPr>
        <rFont val="Arial"/>
        <i/>
        <color theme="1"/>
        <sz val="9.0"/>
      </rPr>
      <t xml:space="preserve">All advertising must be </t>
    </r>
    <r>
      <rPr>
        <rFont val="Arial"/>
        <b/>
        <i/>
        <color theme="1"/>
        <sz val="9.0"/>
      </rPr>
      <t xml:space="preserve">digital </t>
    </r>
    <r>
      <rPr>
        <rFont val="Arial"/>
        <i/>
        <color theme="1"/>
        <sz val="9.0"/>
      </rPr>
      <t xml:space="preserve">and targeted only to audiences in target market; 
</t>
    </r>
    <r>
      <rPr>
        <rFont val="Arial"/>
        <b/>
        <i/>
        <color rgb="FFFF0000"/>
        <sz val="9.0"/>
      </rPr>
      <t>INELIGIBLE</t>
    </r>
    <r>
      <rPr>
        <rFont val="Arial"/>
        <i/>
        <color rgb="FFFF0000"/>
        <sz val="9.0"/>
      </rPr>
      <t>: general advertising, SEO, digital email campaigns, cold-calling/telemarketing/newsletters, marketing tools, photography, branding</t>
    </r>
  </si>
  <si>
    <r>
      <rPr>
        <rFont val="Arial"/>
        <b/>
        <color theme="1"/>
      </rPr>
      <t xml:space="preserve">Marketing Activities - </t>
    </r>
    <r>
      <rPr>
        <rFont val="Arial"/>
        <b/>
        <color theme="1"/>
        <u/>
      </rPr>
      <t>One</t>
    </r>
    <r>
      <rPr>
        <rFont val="Arial"/>
        <b/>
        <color theme="1"/>
      </rPr>
      <t xml:space="preserve"> Video to be used for trade events or meetings.
</t>
    </r>
    <r>
      <rPr>
        <rFont val="Arial"/>
        <b val="0"/>
        <color theme="1"/>
        <sz val="9.0"/>
        <u/>
      </rPr>
      <t>Must be created for specific Target Market:</t>
    </r>
    <r>
      <rPr>
        <rFont val="Arial"/>
        <b val="0"/>
        <color theme="1"/>
        <sz val="9.0"/>
      </rPr>
      <t xml:space="preserve"> Costs of creating promotional material used at trade events or in meetings. 
Includes infographics, voiceover, animoations, closed captioning/subtitles, video content, editing, videography, studio rental, equipment rental</t>
    </r>
    <r>
      <rPr>
        <rFont val="Arial"/>
        <b val="0"/>
        <color theme="1"/>
      </rPr>
      <t>.</t>
    </r>
  </si>
  <si>
    <r>
      <rPr>
        <rFont val="Arial"/>
        <b/>
        <color theme="1"/>
      </rPr>
      <t xml:space="preserve">Marketing Activities - Adaption of Promotional Material for target market
</t>
    </r>
    <r>
      <rPr>
        <rFont val="Arial"/>
        <color theme="1"/>
        <sz val="9.0"/>
        <u/>
      </rPr>
      <t>Must be created for specific Target Market:</t>
    </r>
    <r>
      <rPr>
        <rFont val="Arial"/>
        <color theme="1"/>
        <sz val="9.0"/>
      </rPr>
      <t xml:space="preserve"> Costs of creating promotional material used at trade events or in meetings. 
Includes print materials (i.e. brochures, pamphlets), banners/posters, sales decks, content writing, copywriting, digital magazine articles and associated photography.
</t>
    </r>
    <r>
      <rPr>
        <rFont val="Arial"/>
        <b/>
        <i/>
        <color rgb="FFFF0000"/>
        <sz val="9.0"/>
      </rPr>
      <t xml:space="preserve">INELIGIBLE: </t>
    </r>
    <r>
      <rPr>
        <rFont val="Arial"/>
        <i/>
        <color rgb="FFFF0000"/>
        <sz val="9.0"/>
      </rPr>
      <t>SWAG and giveaway items, marketing materials to be used by an in-market representative</t>
    </r>
  </si>
  <si>
    <t>D</t>
  </si>
  <si>
    <r>
      <rPr>
        <rFont val="Arial"/>
        <b/>
        <color theme="1"/>
      </rPr>
      <t xml:space="preserve">Interpretation Services
</t>
    </r>
    <r>
      <rPr>
        <rFont val="Arial"/>
        <color theme="1"/>
        <sz val="9.0"/>
      </rPr>
      <t xml:space="preserve">includes: paying for an interpreter to facilitate teleconference/videoconference meetings or in person interactions (when travel permits) with key contacts from target market(s)
</t>
    </r>
    <r>
      <rPr>
        <rFont val="Arial"/>
        <i/>
        <color theme="1"/>
        <sz val="9.0"/>
      </rPr>
      <t xml:space="preserve">excludes: interpretor travel expenses and per diems </t>
    </r>
  </si>
  <si>
    <r>
      <rPr>
        <rFont val="Arial"/>
        <b/>
        <color theme="1"/>
      </rPr>
      <t xml:space="preserve">Contractual Agreements, IP Protection/Certification
</t>
    </r>
    <r>
      <rPr>
        <rFont val="Arial"/>
        <b val="0"/>
        <color theme="1"/>
        <sz val="9.0"/>
      </rPr>
      <t xml:space="preserve">Costs </t>
    </r>
    <r>
      <rPr>
        <rFont val="Arial"/>
        <b val="0"/>
        <color theme="1"/>
        <sz val="9.0"/>
        <u/>
      </rPr>
      <t>paid to regulatory agencies</t>
    </r>
    <r>
      <rPr>
        <rFont val="Arial"/>
        <b val="0"/>
        <color theme="1"/>
        <sz val="9.0"/>
      </rPr>
      <t xml:space="preserve"> associated with entering target market, includes: adaptation/translation of contractual agreements, product certification application or registration fees, supplier diversity certification fees
</t>
    </r>
    <r>
      <rPr>
        <rFont val="Arial"/>
        <b val="0"/>
        <i/>
        <color theme="1"/>
        <sz val="9.0"/>
      </rPr>
      <t>excludes: fees for product testing, examinations, inspections/product development</t>
    </r>
  </si>
  <si>
    <r>
      <rPr>
        <rFont val="Arial"/>
        <b/>
        <color theme="1"/>
      </rPr>
      <t xml:space="preserve">   Consultant Expenses </t>
    </r>
    <r>
      <rPr>
        <rFont val="Arial"/>
        <b val="0"/>
        <color theme="1"/>
        <sz val="9.0"/>
      </rPr>
      <t>(</t>
    </r>
    <r>
      <rPr>
        <rFont val="Arial"/>
        <b val="0"/>
        <i/>
        <color theme="1"/>
        <sz val="9.0"/>
      </rPr>
      <t xml:space="preserve">excluding consultant travel fees and/or per-diems, retainer fees and/or monthly installments)
</t>
    </r>
    <r>
      <rPr>
        <rFont val="Arial"/>
        <b val="0"/>
        <i/>
        <color rgb="FFFF0000"/>
        <sz val="9.0"/>
      </rPr>
      <t xml:space="preserve">Consultants and contractors must not be affiliated with your organization in any way and all transactions/activities must be completed at arm's-length. They must have a specific expertise not otherwise available within your company and cannot be an in-market representative or employee that is conducting business on your behalf.
All consultants and contractors </t>
    </r>
    <r>
      <rPr>
        <rFont val="Arial"/>
        <b/>
        <i/>
        <color rgb="FFFF0000"/>
        <sz val="9.0"/>
      </rPr>
      <t>must be based in Canada or in one of the target markets</t>
    </r>
  </si>
  <si>
    <t>Must be be based in Canada or in the relevant target market of expansion. Must be arm's length. 
Must have expertise that is not available in-house (staff). NOT on retainer.</t>
  </si>
  <si>
    <t>F</t>
  </si>
  <si>
    <r>
      <rPr>
        <rFont val="Arial"/>
        <color theme="1"/>
      </rPr>
      <t xml:space="preserve">         1. </t>
    </r>
    <r>
      <rPr>
        <rFont val="Arial"/>
        <b/>
        <color theme="1"/>
      </rPr>
      <t xml:space="preserve">Business Advice on regulatory issues
</t>
    </r>
    <r>
      <rPr>
        <rFont val="Arial"/>
        <color theme="1"/>
        <sz val="9.0"/>
      </rPr>
      <t xml:space="preserve">includes: expert business advice from independent consultants/contractors relating to accounting, legal, or business 
</t>
    </r>
    <r>
      <rPr>
        <rFont val="Arial"/>
        <b/>
        <i/>
        <color rgb="FFFF0000"/>
        <sz val="9.0"/>
      </rPr>
      <t xml:space="preserve">INELIGIBLE: </t>
    </r>
    <r>
      <rPr>
        <rFont val="Arial"/>
        <i/>
        <color rgb="FFFF0000"/>
        <sz val="9.0"/>
      </rPr>
      <t>implementing or managing any other strategies (e.g. digital and e-commerce campaigns), travel fees for consultant</t>
    </r>
  </si>
  <si>
    <r>
      <rPr>
        <rFont val="Arial"/>
        <color theme="1"/>
      </rPr>
      <t xml:space="preserve">         2. </t>
    </r>
    <r>
      <rPr>
        <rFont val="Arial"/>
        <b/>
        <color theme="1"/>
      </rPr>
      <t>Compliance consulting and IP legal fees</t>
    </r>
    <r>
      <rPr>
        <rFont val="Arial"/>
        <color theme="1"/>
      </rPr>
      <t xml:space="preserve">
</t>
    </r>
    <r>
      <rPr>
        <rFont val="Arial"/>
        <color theme="1"/>
        <sz val="9.0"/>
      </rPr>
      <t xml:space="preserve">includes: Legal or Tax Advice relating to compliance and IP, such as developing an international IP strategy, 
</t>
    </r>
    <r>
      <rPr>
        <rFont val="Arial"/>
        <i/>
        <color theme="1"/>
        <sz val="9.0"/>
      </rPr>
      <t>excludes: IP or trademark application fees, IP certification or protection fees, IP testing/examination/inspection fees, IP R&amp;D/production/distribution expenses, IP maintenance/renewal fees, development of Canadian IP strategy, IP insurance, certifiations not specific to target market (ex: HIPAA, ISO, SOC)</t>
    </r>
  </si>
  <si>
    <t>G</t>
  </si>
  <si>
    <r>
      <rPr>
        <rFont val="Arial"/>
        <color theme="1"/>
      </rPr>
      <t xml:space="preserve">         4. </t>
    </r>
    <r>
      <rPr>
        <rFont val="Arial"/>
        <b/>
        <color theme="1"/>
      </rPr>
      <t>Market Research Consultant</t>
    </r>
    <r>
      <rPr>
        <rFont val="Arial"/>
        <color theme="1"/>
      </rPr>
      <t xml:space="preserve">
</t>
    </r>
    <r>
      <rPr>
        <rFont val="Arial"/>
        <color theme="1"/>
        <sz val="9.0"/>
      </rPr>
      <t>includes: feasibility studies, export market research</t>
    </r>
  </si>
  <si>
    <r>
      <rPr>
        <rFont val="Arial"/>
        <color theme="1"/>
      </rPr>
      <t xml:space="preserve">         5. </t>
    </r>
    <r>
      <rPr>
        <rFont val="Arial"/>
        <b/>
        <color theme="1"/>
      </rPr>
      <t>Lead Generation</t>
    </r>
    <r>
      <rPr>
        <rFont val="Arial"/>
        <color theme="1"/>
      </rPr>
      <t xml:space="preserve">
</t>
    </r>
    <r>
      <rPr>
        <rFont val="Arial"/>
        <color theme="1"/>
        <sz val="9.0"/>
      </rPr>
      <t xml:space="preserve">includes: Sales Consulting &amp; Advising, Identification of key contacts, B2B facilitaion through meeting programs or matchmaking
</t>
    </r>
    <r>
      <rPr>
        <rFont val="Arial"/>
        <b/>
        <i/>
        <color rgb="FFFF0000"/>
        <sz val="9.0"/>
      </rPr>
      <t xml:space="preserve">INELIGIBLE: </t>
    </r>
    <r>
      <rPr>
        <rFont val="Arial"/>
        <i/>
        <color rgb="FFFF0000"/>
        <sz val="9.0"/>
      </rPr>
      <t>direct mail campaigns (ie: cold-calling, telemarketing, email campaigns)</t>
    </r>
  </si>
  <si>
    <t>H</t>
  </si>
  <si>
    <r>
      <rPr>
        <rFont val="Arial"/>
        <b/>
        <color theme="1"/>
      </rPr>
      <t xml:space="preserve">Intellectual Property (IP) Protection, Including Expert/Legal Services for IP Related Expenses for Target Market(s)
</t>
    </r>
    <r>
      <rPr>
        <rFont val="Arial"/>
        <color theme="1"/>
        <sz val="9.0"/>
      </rPr>
      <t>includes: filing patent or industrial design application, applciation for registration of trademark or copyright, development of international IP strategy, database search, drafting/filing of formal IP documentation</t>
    </r>
  </si>
  <si>
    <t xml:space="preserve">Ineligible Expenses: </t>
  </si>
  <si>
    <t xml:space="preserve">costs for preparing/submitting/claiming for a CanEx project, capital costs and office supplies, capital asset costs, overhead expenses, employee salaries/labour/wages, any costs related to subsidization, activities designe to attract investment, GST/HST, refundable poritons of taxes/duties, activities labeled TBD, incorporation fees, retainer/deposit fees (excluding trade show deposits), honoraria, training costs, developing/producing prototypes </t>
  </si>
  <si>
    <r>
      <rPr>
        <rFont val="Arial"/>
        <b/>
        <color rgb="FF000000"/>
      </rPr>
      <t>Region 2:</t>
    </r>
    <r>
      <rPr>
        <rFont val="Arial"/>
        <b/>
        <color rgb="FFFF0000"/>
      </rPr>
      <t xml:space="preserve"> Please advise (if you go to the U.S., you can't choose another foreign market) &amp; vice versa</t>
    </r>
  </si>
  <si>
    <r>
      <rPr>
        <rFont val="Arial"/>
        <b/>
        <color rgb="FF000000"/>
      </rPr>
      <t>Travel For Events or Meetings with Key Contacts</t>
    </r>
    <r>
      <rPr>
        <rFont val="Arial"/>
        <b/>
        <color rgb="FF000000"/>
        <sz val="9.0"/>
      </rPr>
      <t xml:space="preserve"> </t>
    </r>
    <r>
      <rPr>
        <rFont val="Arial"/>
        <color rgb="FF000000"/>
        <sz val="9.0"/>
      </rPr>
      <t>(max 2 individuals)
inludes: refundable airfaire with seat selection/baggage fees, and ground transportation via rental car/ride-share/taxi/bus/subway, mandatory visa fees</t>
    </r>
    <r>
      <rPr>
        <rFont val="Arial"/>
        <color rgb="FF000000"/>
      </rPr>
      <t xml:space="preserve">  
</t>
    </r>
    <r>
      <rPr>
        <rFont val="Arial"/>
        <b/>
        <i/>
        <color rgb="FFFF0000"/>
        <sz val="9.0"/>
      </rPr>
      <t>INELIGIBLE</t>
    </r>
    <r>
      <rPr>
        <rFont val="Arial"/>
        <i/>
        <color rgb="FFFF0000"/>
        <sz val="9.0"/>
      </rPr>
      <t>: travel within Canada, expenses for employees in target market, reinstating/refund of reward program points, insurance, use of personal vehicle</t>
    </r>
  </si>
  <si>
    <r>
      <rPr>
        <rFont val="Arial"/>
        <b/>
        <color rgb="FF000000"/>
      </rPr>
      <t>Per diem</t>
    </r>
    <r>
      <rPr>
        <rFont val="Arial"/>
        <color rgb="FF000000"/>
      </rPr>
      <t xml:space="preserve"> -</t>
    </r>
    <r>
      <rPr>
        <rFont val="Arial"/>
        <color rgb="FF000000"/>
        <sz val="9.0"/>
      </rPr>
      <t xml:space="preserve"> max $400 per day per approved traveller (max 2)
includes: accomodations, meals, and incidentals
</t>
    </r>
    <r>
      <rPr>
        <rFont val="Arial"/>
        <b/>
        <i/>
        <color rgb="FFFF0000"/>
        <sz val="9.0"/>
      </rPr>
      <t>INELIGIBLE</t>
    </r>
    <r>
      <rPr>
        <rFont val="Arial"/>
        <i/>
        <color rgb="FFFF0000"/>
        <sz val="9.0"/>
      </rPr>
      <t>: long term leases/rentals, cell phone charges, insurance, hospitality entertainment/gifts</t>
    </r>
  </si>
  <si>
    <r>
      <rPr>
        <rFont val="Arial"/>
        <b/>
        <color rgb="FF000000"/>
      </rPr>
      <t>Trade Events - non-travel related</t>
    </r>
    <r>
      <rPr>
        <rFont val="Arial"/>
        <color rgb="FF000000"/>
      </rPr>
      <t xml:space="preserve"> (max 2 individuals)
</t>
    </r>
    <r>
      <rPr>
        <rFont val="Arial"/>
        <color rgb="FF000000"/>
        <sz val="9.0"/>
      </rPr>
      <t xml:space="preserve">includes: exhibition/registration fees, single-use costs associated with on-site booth deisgn/construction/rental, electrical/WiFi costs, rental of tech, liability insurance, return shipping and handling costs for print marketing materials, booth pop-ups/products, shipping/handling for food samples or prototypes to and from an event
</t>
    </r>
    <r>
      <rPr>
        <rFont val="Arial"/>
        <b/>
        <i/>
        <color rgb="FFFF0000"/>
        <sz val="9.0"/>
      </rPr>
      <t xml:space="preserve">INELIGIBLE: </t>
    </r>
    <r>
      <rPr>
        <rFont val="Arial"/>
        <i/>
        <color rgb="FFFF0000"/>
        <sz val="9.0"/>
      </rPr>
      <t>virtual events, creating/organizing private event/workshop, event sponsorship, events that primarily consist of knowledge-sharing, or keynote/panel speaking through invitation</t>
    </r>
  </si>
  <si>
    <r>
      <rPr>
        <rFont val="Arial"/>
        <b/>
        <color theme="1"/>
      </rPr>
      <t xml:space="preserve">Marketing Activities - Advertising Costs </t>
    </r>
    <r>
      <rPr>
        <rFont val="Arial"/>
        <b/>
        <color theme="1"/>
        <u/>
      </rPr>
      <t>related to trade event</t>
    </r>
    <r>
      <rPr>
        <rFont val="Arial"/>
        <b/>
        <color theme="1"/>
      </rPr>
      <t xml:space="preserve">
</t>
    </r>
    <r>
      <rPr>
        <rFont val="Arial"/>
        <color theme="1"/>
        <sz val="9.0"/>
      </rPr>
      <t xml:space="preserve">including: online industry publication, online magazines, advertorial, online marketplace ads and banner ads.
</t>
    </r>
    <r>
      <rPr>
        <rFont val="Arial"/>
        <i/>
        <color theme="1"/>
        <sz val="9.0"/>
      </rPr>
      <t xml:space="preserve">All advertising must be </t>
    </r>
    <r>
      <rPr>
        <rFont val="Arial"/>
        <b/>
        <i/>
        <color theme="1"/>
        <sz val="9.0"/>
      </rPr>
      <t xml:space="preserve">digital </t>
    </r>
    <r>
      <rPr>
        <rFont val="Arial"/>
        <i/>
        <color theme="1"/>
        <sz val="9.0"/>
      </rPr>
      <t xml:space="preserve">and targeted only to audiences in target market; 
</t>
    </r>
    <r>
      <rPr>
        <rFont val="Arial"/>
        <b/>
        <i/>
        <color rgb="FFFF0000"/>
        <sz val="9.0"/>
      </rPr>
      <t>INELIGIBLE</t>
    </r>
    <r>
      <rPr>
        <rFont val="Arial"/>
        <i/>
        <color rgb="FFFF0000"/>
        <sz val="9.0"/>
      </rPr>
      <t>: general advertising, SEO, digital email campaigns, cold-calling/telemarketing/newsletters, marketing tools, photography, branding</t>
    </r>
  </si>
  <si>
    <r>
      <rPr>
        <rFont val="Arial"/>
        <b/>
        <color theme="1"/>
      </rPr>
      <t xml:space="preserve">Marketing Activities - </t>
    </r>
    <r>
      <rPr>
        <rFont val="Arial"/>
        <b/>
        <color theme="1"/>
        <u/>
      </rPr>
      <t>One</t>
    </r>
    <r>
      <rPr>
        <rFont val="Arial"/>
        <b/>
        <color theme="1"/>
      </rPr>
      <t xml:space="preserve"> Video to be used for trade events or meetings.
</t>
    </r>
    <r>
      <rPr>
        <rFont val="Arial"/>
        <b val="0"/>
        <color theme="1"/>
        <sz val="9.0"/>
        <u/>
      </rPr>
      <t>Must be created for specific Target Market:</t>
    </r>
    <r>
      <rPr>
        <rFont val="Arial"/>
        <b val="0"/>
        <color theme="1"/>
        <sz val="9.0"/>
      </rPr>
      <t xml:space="preserve"> Costs of creating promotional material used at trade events or in meetings. 
Includes infographics, voiceover, animoations, closed captioning/subtitles, video content, editing, videography, studio rental, equipment rental</t>
    </r>
    <r>
      <rPr>
        <rFont val="Arial"/>
        <b val="0"/>
        <color theme="1"/>
      </rPr>
      <t>.</t>
    </r>
  </si>
  <si>
    <r>
      <rPr>
        <rFont val="Arial"/>
        <b/>
        <color theme="1"/>
      </rPr>
      <t xml:space="preserve">Marketing Activities - Adaption of Promotional Material for target market
</t>
    </r>
    <r>
      <rPr>
        <rFont val="Arial"/>
        <color theme="1"/>
        <sz val="9.0"/>
        <u/>
      </rPr>
      <t>Must be created for specific Target Market:</t>
    </r>
    <r>
      <rPr>
        <rFont val="Arial"/>
        <color theme="1"/>
        <sz val="9.0"/>
      </rPr>
      <t xml:space="preserve"> Costs of creating promotional material used at trade events or in meetings. 
Includes print materials (i.e. brochures, pamphlets), banners/posters, sales decks, content writing, copywriting, digital magazine articles and associated photography.
</t>
    </r>
    <r>
      <rPr>
        <rFont val="Arial"/>
        <b/>
        <i/>
        <color rgb="FFFF0000"/>
        <sz val="9.0"/>
      </rPr>
      <t xml:space="preserve">INELIGIBLE: </t>
    </r>
    <r>
      <rPr>
        <rFont val="Arial"/>
        <i/>
        <color rgb="FFFF0000"/>
        <sz val="9.0"/>
      </rPr>
      <t>SWAG and giveaway items, marketing materials to be used by an in-market representative</t>
    </r>
  </si>
  <si>
    <r>
      <rPr>
        <rFont val="Arial"/>
        <b/>
        <color theme="1"/>
      </rPr>
      <t xml:space="preserve">Interpretation Services
</t>
    </r>
    <r>
      <rPr>
        <rFont val="Arial"/>
        <color theme="1"/>
        <sz val="9.0"/>
      </rPr>
      <t xml:space="preserve">includes: paying for an interpreter to facilitate teleconference/videoconference meetings or in person interactions (when travel permits) with key contacts from target market(s)
</t>
    </r>
    <r>
      <rPr>
        <rFont val="Arial"/>
        <i/>
        <color theme="1"/>
        <sz val="9.0"/>
      </rPr>
      <t xml:space="preserve">excludes: interpretor travel expenses and per diems </t>
    </r>
  </si>
  <si>
    <r>
      <rPr>
        <rFont val="Arial"/>
        <b/>
        <color theme="1"/>
      </rPr>
      <t xml:space="preserve">Contractual Agreements, IP Protection/Certification
</t>
    </r>
    <r>
      <rPr>
        <rFont val="Arial"/>
        <b val="0"/>
        <color theme="1"/>
        <sz val="9.0"/>
      </rPr>
      <t xml:space="preserve">Costs </t>
    </r>
    <r>
      <rPr>
        <rFont val="Arial"/>
        <b val="0"/>
        <color theme="1"/>
        <sz val="9.0"/>
        <u/>
      </rPr>
      <t>paid to regulatory agencies</t>
    </r>
    <r>
      <rPr>
        <rFont val="Arial"/>
        <b val="0"/>
        <color theme="1"/>
        <sz val="9.0"/>
      </rPr>
      <t xml:space="preserve"> associated with entering target market, includes: adaptation/translation of contractual agreements, product certification application or registration fees, supplier diversity certification fees
</t>
    </r>
    <r>
      <rPr>
        <rFont val="Arial"/>
        <b val="0"/>
        <i/>
        <color theme="1"/>
        <sz val="9.0"/>
      </rPr>
      <t>excludes: fees for product testing, examinations, inspections/product development</t>
    </r>
  </si>
  <si>
    <r>
      <rPr>
        <rFont val="Arial"/>
        <b/>
        <color theme="1"/>
      </rPr>
      <t xml:space="preserve">   Consultant Expenses </t>
    </r>
    <r>
      <rPr>
        <rFont val="Arial"/>
        <b val="0"/>
        <color theme="1"/>
        <sz val="9.0"/>
      </rPr>
      <t>(</t>
    </r>
    <r>
      <rPr>
        <rFont val="Arial"/>
        <b val="0"/>
        <i/>
        <color theme="1"/>
        <sz val="9.0"/>
      </rPr>
      <t xml:space="preserve">excluding consultant travel fees and/or per-diems, retainer fees and/or monthly installments)
</t>
    </r>
    <r>
      <rPr>
        <rFont val="Arial"/>
        <b val="0"/>
        <i/>
        <color rgb="FFFF0000"/>
        <sz val="9.0"/>
      </rPr>
      <t xml:space="preserve">Consultants and contractors must not be affiliated with your organization in any way and all transactions/activities must be completed at arm's-length. They must have a specific expertise not otherwise available within your company and cannot be an in-market representative or employee that is conducting business on your behalf.
All consultants and contractors </t>
    </r>
    <r>
      <rPr>
        <rFont val="Arial"/>
        <b/>
        <i/>
        <color rgb="FFFF0000"/>
        <sz val="9.0"/>
      </rPr>
      <t>must be based in Canada or in one of the target markets</t>
    </r>
  </si>
  <si>
    <r>
      <rPr>
        <rFont val="Arial"/>
        <color theme="1"/>
      </rPr>
      <t xml:space="preserve">         1. </t>
    </r>
    <r>
      <rPr>
        <rFont val="Arial"/>
        <b/>
        <color theme="1"/>
      </rPr>
      <t xml:space="preserve">Business Advice on regulatory issues
</t>
    </r>
    <r>
      <rPr>
        <rFont val="Arial"/>
        <color theme="1"/>
        <sz val="9.0"/>
      </rPr>
      <t xml:space="preserve">includes: expert business advice from independent consultants/contractors relating to accounting, legal, or business 
</t>
    </r>
    <r>
      <rPr>
        <rFont val="Arial"/>
        <b/>
        <i/>
        <color rgb="FFFF0000"/>
        <sz val="9.0"/>
      </rPr>
      <t xml:space="preserve">INELIGIBLE: </t>
    </r>
    <r>
      <rPr>
        <rFont val="Arial"/>
        <i/>
        <color rgb="FFFF0000"/>
        <sz val="9.0"/>
      </rPr>
      <t>implementing or managing any other strategies (e.g. digital and e-commerce campaigns), travel fees for consultant</t>
    </r>
  </si>
  <si>
    <r>
      <rPr>
        <rFont val="Arial"/>
        <color theme="1"/>
      </rPr>
      <t xml:space="preserve">         2. </t>
    </r>
    <r>
      <rPr>
        <rFont val="Arial"/>
        <b/>
        <color theme="1"/>
      </rPr>
      <t>Compliance consulting and IP legal fees</t>
    </r>
    <r>
      <rPr>
        <rFont val="Arial"/>
        <color theme="1"/>
      </rPr>
      <t xml:space="preserve">
</t>
    </r>
    <r>
      <rPr>
        <rFont val="Arial"/>
        <color theme="1"/>
        <sz val="9.0"/>
      </rPr>
      <t xml:space="preserve">includes: Legal or Tax Advice relating to compliance and IP, such as developing an international IP strategy, 
</t>
    </r>
    <r>
      <rPr>
        <rFont val="Arial"/>
        <i/>
        <color theme="1"/>
        <sz val="9.0"/>
      </rPr>
      <t>excludes: IP or trademark application fees, IP certification or protection fees, IP testing/examination/inspection fees, IP R&amp;D/production/distribution expenses, IP maintenance/renewal fees, development of Canadian IP strategy, IP insurance, certifiations not specific to target market (ex: HIPAA, ISO, SOC)</t>
    </r>
  </si>
  <si>
    <r>
      <rPr>
        <rFont val="Arial"/>
        <color theme="1"/>
      </rPr>
      <t xml:space="preserve">         4. </t>
    </r>
    <r>
      <rPr>
        <rFont val="Arial"/>
        <b/>
        <color theme="1"/>
      </rPr>
      <t>Market Research Consultant</t>
    </r>
    <r>
      <rPr>
        <rFont val="Arial"/>
        <color theme="1"/>
      </rPr>
      <t xml:space="preserve">
</t>
    </r>
    <r>
      <rPr>
        <rFont val="Arial"/>
        <color theme="1"/>
        <sz val="9.0"/>
      </rPr>
      <t>includes: feasibility studies, export market research</t>
    </r>
  </si>
  <si>
    <r>
      <rPr>
        <rFont val="Arial"/>
        <color theme="1"/>
      </rPr>
      <t xml:space="preserve">         5. </t>
    </r>
    <r>
      <rPr>
        <rFont val="Arial"/>
        <b/>
        <color theme="1"/>
      </rPr>
      <t>Lead Generation</t>
    </r>
    <r>
      <rPr>
        <rFont val="Arial"/>
        <color theme="1"/>
      </rPr>
      <t xml:space="preserve">
</t>
    </r>
    <r>
      <rPr>
        <rFont val="Arial"/>
        <color theme="1"/>
        <sz val="9.0"/>
      </rPr>
      <t xml:space="preserve">includes: Sales Consulting &amp; Advising, Identification of key contacts, B2B facilitaion through meeting programs or matchmaking
</t>
    </r>
    <r>
      <rPr>
        <rFont val="Arial"/>
        <b/>
        <i/>
        <color rgb="FFFF0000"/>
        <sz val="9.0"/>
      </rPr>
      <t xml:space="preserve">INELIGIBLE: </t>
    </r>
    <r>
      <rPr>
        <rFont val="Arial"/>
        <i/>
        <color rgb="FFFF0000"/>
        <sz val="9.0"/>
      </rPr>
      <t>direct mail campaigns (ie: cold-calling, telemarketing, email campaigns)</t>
    </r>
  </si>
  <si>
    <r>
      <rPr>
        <rFont val="Arial"/>
        <b/>
        <color theme="1"/>
      </rPr>
      <t xml:space="preserve">Intellectual Property (IP) Protection, Including Expert/Legal Services for IP Related Expenses for Target Market(s)
</t>
    </r>
    <r>
      <rPr>
        <rFont val="Arial"/>
        <color theme="1"/>
        <sz val="9.0"/>
      </rPr>
      <t>includes: filing patent or industrial design application, applciation for registration of trademark or copyright, development of international IP strategy, database search, drafting/filing of formal IP documentation</t>
    </r>
  </si>
  <si>
    <r>
      <rPr>
        <rFont val="Arial"/>
        <b/>
        <color rgb="FF000000"/>
      </rPr>
      <t>Region 3:</t>
    </r>
    <r>
      <rPr>
        <rFont val="Arial"/>
        <b/>
        <color rgb="FFFF0000"/>
      </rPr>
      <t xml:space="preserve"> Please advise (if you go to the U.S., you can't choose another foreign market) &amp; vice versa</t>
    </r>
  </si>
  <si>
    <r>
      <rPr>
        <rFont val="Arial"/>
        <b/>
        <color rgb="FF000000"/>
      </rPr>
      <t>Travel For Events or Meetings with Key Contacts</t>
    </r>
    <r>
      <rPr>
        <rFont val="Arial"/>
        <b/>
        <color rgb="FF000000"/>
        <sz val="9.0"/>
      </rPr>
      <t xml:space="preserve"> </t>
    </r>
    <r>
      <rPr>
        <rFont val="Arial"/>
        <color rgb="FF000000"/>
        <sz val="9.0"/>
      </rPr>
      <t>(max 2 individuals)
inludes: refundable airfaire with seat selection/baggage fees, and ground transportation via rental car/ride-share/taxi/bus/subway, mandatory visa fees</t>
    </r>
    <r>
      <rPr>
        <rFont val="Arial"/>
        <color rgb="FF000000"/>
      </rPr>
      <t xml:space="preserve">  
</t>
    </r>
    <r>
      <rPr>
        <rFont val="Arial"/>
        <b/>
        <i/>
        <color rgb="FFFF0000"/>
        <sz val="9.0"/>
      </rPr>
      <t>INELIGIBLE</t>
    </r>
    <r>
      <rPr>
        <rFont val="Arial"/>
        <i/>
        <color rgb="FFFF0000"/>
        <sz val="9.0"/>
      </rPr>
      <t>: travel within Canada, expenses for employees in target market, reinstating/refund of reward program points, insurance, use of personal vehicle</t>
    </r>
  </si>
  <si>
    <r>
      <rPr>
        <rFont val="Arial"/>
        <b/>
        <color rgb="FF000000"/>
      </rPr>
      <t>Per diem</t>
    </r>
    <r>
      <rPr>
        <rFont val="Arial"/>
        <color rgb="FF000000"/>
      </rPr>
      <t xml:space="preserve"> -</t>
    </r>
    <r>
      <rPr>
        <rFont val="Arial"/>
        <color rgb="FF000000"/>
        <sz val="9.0"/>
      </rPr>
      <t xml:space="preserve"> max $400 per day per approved traveller (max 2)
includes: accomodations, meals, and incidentals
</t>
    </r>
    <r>
      <rPr>
        <rFont val="Arial"/>
        <b/>
        <i/>
        <color rgb="FFFF0000"/>
        <sz val="9.0"/>
      </rPr>
      <t>INELIGIBLE</t>
    </r>
    <r>
      <rPr>
        <rFont val="Arial"/>
        <i/>
        <color rgb="FFFF0000"/>
        <sz val="9.0"/>
      </rPr>
      <t>: long term leases/rentals, cell phone charges, insurance, hospitality entertainment/gifts</t>
    </r>
  </si>
  <si>
    <r>
      <rPr>
        <rFont val="Arial"/>
        <b/>
        <color rgb="FF000000"/>
      </rPr>
      <t>Trade Events - non-travel related</t>
    </r>
    <r>
      <rPr>
        <rFont val="Arial"/>
        <color rgb="FF000000"/>
      </rPr>
      <t xml:space="preserve"> (max 2 individuals)
</t>
    </r>
    <r>
      <rPr>
        <rFont val="Arial"/>
        <color rgb="FF000000"/>
        <sz val="9.0"/>
      </rPr>
      <t xml:space="preserve">includes: exhibition/registration fees, single-use costs associated with on-site booth deisgn/construction/rental, electrical/WiFi costs, rental of tech, liability insurance, return shipping and handling costs for print marketing materials, booth pop-ups/products, shipping/handling for food samples or prototypes to and from an event
</t>
    </r>
    <r>
      <rPr>
        <rFont val="Arial"/>
        <b/>
        <i/>
        <color rgb="FFFF0000"/>
        <sz val="9.0"/>
      </rPr>
      <t xml:space="preserve">INELIGIBLE: </t>
    </r>
    <r>
      <rPr>
        <rFont val="Arial"/>
        <i/>
        <color rgb="FFFF0000"/>
        <sz val="9.0"/>
      </rPr>
      <t>virtual events, creating/organizing private event/workshop, event sponsorship, events that primarily consist of knowledge-sharing, or keynote/panel speaking through invitation</t>
    </r>
  </si>
  <si>
    <r>
      <rPr>
        <rFont val="Arial"/>
        <b/>
        <color theme="1"/>
      </rPr>
      <t xml:space="preserve">Marketing Activities - Advertising Costs </t>
    </r>
    <r>
      <rPr>
        <rFont val="Arial"/>
        <b/>
        <color theme="1"/>
        <u/>
      </rPr>
      <t>related to trade event</t>
    </r>
    <r>
      <rPr>
        <rFont val="Arial"/>
        <b/>
        <color theme="1"/>
      </rPr>
      <t xml:space="preserve">
</t>
    </r>
    <r>
      <rPr>
        <rFont val="Arial"/>
        <color theme="1"/>
        <sz val="9.0"/>
      </rPr>
      <t xml:space="preserve">including: online industry publication, online magazines, advertorial, online marketplace ads and banner ads.
</t>
    </r>
    <r>
      <rPr>
        <rFont val="Arial"/>
        <i/>
        <color theme="1"/>
        <sz val="9.0"/>
      </rPr>
      <t xml:space="preserve">All advertising must be </t>
    </r>
    <r>
      <rPr>
        <rFont val="Arial"/>
        <b/>
        <i/>
        <color theme="1"/>
        <sz val="9.0"/>
      </rPr>
      <t xml:space="preserve">digital </t>
    </r>
    <r>
      <rPr>
        <rFont val="Arial"/>
        <i/>
        <color theme="1"/>
        <sz val="9.0"/>
      </rPr>
      <t xml:space="preserve">and targeted only to audiences in target market; 
</t>
    </r>
    <r>
      <rPr>
        <rFont val="Arial"/>
        <b/>
        <i/>
        <color rgb="FFFF0000"/>
        <sz val="9.0"/>
      </rPr>
      <t>INELIGIBLE</t>
    </r>
    <r>
      <rPr>
        <rFont val="Arial"/>
        <i/>
        <color rgb="FFFF0000"/>
        <sz val="9.0"/>
      </rPr>
      <t>: general advertising, SEO, digital email campaigns, cold-calling/telemarketing/newsletters, marketing tools, photography, branding</t>
    </r>
  </si>
  <si>
    <r>
      <rPr>
        <rFont val="Arial"/>
        <b/>
        <color theme="1"/>
      </rPr>
      <t xml:space="preserve">Marketing Activities - </t>
    </r>
    <r>
      <rPr>
        <rFont val="Arial"/>
        <b/>
        <color theme="1"/>
        <u/>
      </rPr>
      <t>One</t>
    </r>
    <r>
      <rPr>
        <rFont val="Arial"/>
        <b/>
        <color theme="1"/>
      </rPr>
      <t xml:space="preserve"> Video to be used for trade events or meetings.
</t>
    </r>
    <r>
      <rPr>
        <rFont val="Arial"/>
        <b val="0"/>
        <color theme="1"/>
        <sz val="9.0"/>
        <u/>
      </rPr>
      <t>Must be created for specific Target Market:</t>
    </r>
    <r>
      <rPr>
        <rFont val="Arial"/>
        <b val="0"/>
        <color theme="1"/>
        <sz val="9.0"/>
      </rPr>
      <t xml:space="preserve"> Costs of creating promotional material used at trade events or in meetings. 
Includes infographics, voiceover, animoations, closed captioning/subtitles, video content, editing, videography, studio rental, equipment rental</t>
    </r>
    <r>
      <rPr>
        <rFont val="Arial"/>
        <b val="0"/>
        <color theme="1"/>
      </rPr>
      <t>.</t>
    </r>
  </si>
  <si>
    <r>
      <rPr>
        <rFont val="Arial"/>
        <b/>
        <color theme="1"/>
      </rPr>
      <t xml:space="preserve">Marketing Activities - Adaption of Promotional Material for target market
</t>
    </r>
    <r>
      <rPr>
        <rFont val="Arial"/>
        <color theme="1"/>
        <sz val="9.0"/>
        <u/>
      </rPr>
      <t>Must be created for specific Target Market:</t>
    </r>
    <r>
      <rPr>
        <rFont val="Arial"/>
        <color theme="1"/>
        <sz val="9.0"/>
      </rPr>
      <t xml:space="preserve"> Costs of creating promotional material used at trade events or in meetings. 
Includes print materials (i.e. brochures, pamphlets), banners/posters, sales decks, content writing, copywriting, digital magazine articles and associated photography.
</t>
    </r>
    <r>
      <rPr>
        <rFont val="Arial"/>
        <b/>
        <i/>
        <color rgb="FFFF0000"/>
        <sz val="9.0"/>
      </rPr>
      <t xml:space="preserve">INELIGIBLE: </t>
    </r>
    <r>
      <rPr>
        <rFont val="Arial"/>
        <i/>
        <color rgb="FFFF0000"/>
        <sz val="9.0"/>
      </rPr>
      <t>SWAG and giveaway items, marketing materials to be used by an in-market representative</t>
    </r>
  </si>
  <si>
    <r>
      <rPr>
        <rFont val="Arial"/>
        <b/>
        <color theme="1"/>
      </rPr>
      <t xml:space="preserve">Interpretation Services
</t>
    </r>
    <r>
      <rPr>
        <rFont val="Arial"/>
        <color theme="1"/>
        <sz val="9.0"/>
      </rPr>
      <t xml:space="preserve">includes: paying for an interpreter to facilitate teleconference/videoconference meetings or in person interactions (when travel permits) with key contacts from target market(s)
</t>
    </r>
    <r>
      <rPr>
        <rFont val="Arial"/>
        <i/>
        <color theme="1"/>
        <sz val="9.0"/>
      </rPr>
      <t xml:space="preserve">excludes: interpretor travel expenses and per diems </t>
    </r>
  </si>
  <si>
    <r>
      <rPr>
        <rFont val="Arial"/>
        <b/>
        <color theme="1"/>
      </rPr>
      <t xml:space="preserve">Contractual Agreements, IP Protection/Certification
</t>
    </r>
    <r>
      <rPr>
        <rFont val="Arial"/>
        <b val="0"/>
        <color theme="1"/>
        <sz val="9.0"/>
      </rPr>
      <t xml:space="preserve">Costs </t>
    </r>
    <r>
      <rPr>
        <rFont val="Arial"/>
        <b val="0"/>
        <color theme="1"/>
        <sz val="9.0"/>
        <u/>
      </rPr>
      <t>paid to regulatory agencies</t>
    </r>
    <r>
      <rPr>
        <rFont val="Arial"/>
        <b val="0"/>
        <color theme="1"/>
        <sz val="9.0"/>
      </rPr>
      <t xml:space="preserve"> associated with entering target market, includes: adaptation/translation of contractual agreements, product certification application or registration fees, supplier diversity certification fees
</t>
    </r>
    <r>
      <rPr>
        <rFont val="Arial"/>
        <b val="0"/>
        <i/>
        <color theme="1"/>
        <sz val="9.0"/>
      </rPr>
      <t>excludes: fees for product testing, examinations, inspections/product development</t>
    </r>
  </si>
  <si>
    <r>
      <rPr>
        <rFont val="Arial"/>
        <b/>
        <color theme="1"/>
      </rPr>
      <t xml:space="preserve">   Consultant Expenses </t>
    </r>
    <r>
      <rPr>
        <rFont val="Arial"/>
        <b val="0"/>
        <color theme="1"/>
        <sz val="9.0"/>
      </rPr>
      <t>(</t>
    </r>
    <r>
      <rPr>
        <rFont val="Arial"/>
        <b val="0"/>
        <i/>
        <color theme="1"/>
        <sz val="9.0"/>
      </rPr>
      <t xml:space="preserve">excluding consultant travel fees and/or per-diems, retainer fees and/or monthly installments)
</t>
    </r>
    <r>
      <rPr>
        <rFont val="Arial"/>
        <b val="0"/>
        <i/>
        <color rgb="FFFF0000"/>
        <sz val="9.0"/>
      </rPr>
      <t xml:space="preserve">Consultants and contractors must not be affiliated with your organization in any way and all transactions/activities must be completed at arm's-length. They must have a specific expertise not otherwise available within your company and cannot be an in-market representative or employee that is conducting business on your behalf.
All consultants and contractors </t>
    </r>
    <r>
      <rPr>
        <rFont val="Arial"/>
        <b/>
        <i/>
        <color rgb="FFFF0000"/>
        <sz val="9.0"/>
      </rPr>
      <t>must be based in Canada or in one of the target markets</t>
    </r>
  </si>
  <si>
    <r>
      <rPr>
        <rFont val="Arial"/>
        <color theme="1"/>
      </rPr>
      <t xml:space="preserve">         1. </t>
    </r>
    <r>
      <rPr>
        <rFont val="Arial"/>
        <b/>
        <color theme="1"/>
      </rPr>
      <t xml:space="preserve">Business Advice on regulatory issues
</t>
    </r>
    <r>
      <rPr>
        <rFont val="Arial"/>
        <color theme="1"/>
        <sz val="9.0"/>
      </rPr>
      <t xml:space="preserve">includes: expert business advice from independent consultants/contractors relating to accounting, legal, or business 
</t>
    </r>
    <r>
      <rPr>
        <rFont val="Arial"/>
        <b/>
        <i/>
        <color rgb="FFFF0000"/>
        <sz val="9.0"/>
      </rPr>
      <t xml:space="preserve">INELIGIBLE: </t>
    </r>
    <r>
      <rPr>
        <rFont val="Arial"/>
        <i/>
        <color rgb="FFFF0000"/>
        <sz val="9.0"/>
      </rPr>
      <t>implementing or managing any other strategies (e.g. digital and e-commerce campaigns), travel fees for consultant</t>
    </r>
  </si>
  <si>
    <r>
      <rPr>
        <rFont val="Arial"/>
        <color theme="1"/>
      </rPr>
      <t xml:space="preserve">         2. </t>
    </r>
    <r>
      <rPr>
        <rFont val="Arial"/>
        <b/>
        <color theme="1"/>
      </rPr>
      <t>Compliance consulting and IP legal fees</t>
    </r>
    <r>
      <rPr>
        <rFont val="Arial"/>
        <color theme="1"/>
      </rPr>
      <t xml:space="preserve">
</t>
    </r>
    <r>
      <rPr>
        <rFont val="Arial"/>
        <color theme="1"/>
        <sz val="9.0"/>
      </rPr>
      <t xml:space="preserve">includes: Legal or Tax Advice relating to compliance and IP, such as developing an international IP strategy, 
</t>
    </r>
    <r>
      <rPr>
        <rFont val="Arial"/>
        <i/>
        <color theme="1"/>
        <sz val="9.0"/>
      </rPr>
      <t>excludes: IP or trademark application fees, IP certification or protection fees, IP testing/examination/inspection fees, IP R&amp;D/production/distribution expenses, IP maintenance/renewal fees, development of Canadian IP strategy, IP insurance, certifiations not specific to target market (ex: HIPAA, ISO, SOC)</t>
    </r>
  </si>
  <si>
    <r>
      <rPr>
        <rFont val="Arial"/>
        <color theme="1"/>
      </rPr>
      <t xml:space="preserve">         4. </t>
    </r>
    <r>
      <rPr>
        <rFont val="Arial"/>
        <b/>
        <color theme="1"/>
      </rPr>
      <t>Market Research Consultant</t>
    </r>
    <r>
      <rPr>
        <rFont val="Arial"/>
        <color theme="1"/>
      </rPr>
      <t xml:space="preserve">
</t>
    </r>
    <r>
      <rPr>
        <rFont val="Arial"/>
        <color theme="1"/>
        <sz val="9.0"/>
      </rPr>
      <t>includes: feasibility studies, export market research</t>
    </r>
  </si>
  <si>
    <r>
      <rPr>
        <rFont val="Arial"/>
        <color theme="1"/>
      </rPr>
      <t xml:space="preserve">         5. </t>
    </r>
    <r>
      <rPr>
        <rFont val="Arial"/>
        <b/>
        <color theme="1"/>
      </rPr>
      <t>Lead Generation</t>
    </r>
    <r>
      <rPr>
        <rFont val="Arial"/>
        <color theme="1"/>
      </rPr>
      <t xml:space="preserve">
</t>
    </r>
    <r>
      <rPr>
        <rFont val="Arial"/>
        <color theme="1"/>
        <sz val="9.0"/>
      </rPr>
      <t xml:space="preserve">includes: Sales Consulting &amp; Advising, Identification of key contacts, B2B facilitaion through meeting programs or matchmaking
</t>
    </r>
    <r>
      <rPr>
        <rFont val="Arial"/>
        <b/>
        <i/>
        <color rgb="FFFF0000"/>
        <sz val="9.0"/>
      </rPr>
      <t xml:space="preserve">INELIGIBLE: </t>
    </r>
    <r>
      <rPr>
        <rFont val="Arial"/>
        <i/>
        <color rgb="FFFF0000"/>
        <sz val="9.0"/>
      </rPr>
      <t>direct mail campaigns (ie: cold-calling, telemarketing, email campaigns)</t>
    </r>
  </si>
  <si>
    <r>
      <rPr>
        <rFont val="Arial"/>
        <b/>
        <color theme="1"/>
      </rPr>
      <t xml:space="preserve">Intellectual Property (IP) Protection, Including Expert/Legal Services for IP Related Expenses for Target Market(s)
</t>
    </r>
    <r>
      <rPr>
        <rFont val="Arial"/>
        <color theme="1"/>
        <sz val="9.0"/>
      </rPr>
      <t>includes: filing patent or industrial design application, applciation for registration of trademark or copyright, development of international IP strategy, database search, drafting/filing of formal IP documentation</t>
    </r>
  </si>
  <si>
    <r>
      <rPr>
        <rFont val="Arial"/>
        <b/>
        <color theme="1"/>
      </rPr>
      <t>Instructions:</t>
    </r>
    <r>
      <rPr>
        <rFont val="Arial"/>
        <color theme="1"/>
      </rPr>
      <t xml:space="preserve"> Please indicate names of potential clients or partners you are targetting for this project, ideally at least 10. 								</t>
    </r>
  </si>
  <si>
    <t>Company Name</t>
  </si>
  <si>
    <t>Contact</t>
  </si>
  <si>
    <t>Details (what they would buy)</t>
  </si>
  <si>
    <t xml:space="preserve">State / City </t>
  </si>
  <si>
    <t>Company: Fake Company Inc</t>
  </si>
  <si>
    <t>Market(s): US Northeast</t>
  </si>
  <si>
    <r>
      <rPr>
        <rFont val="Arial"/>
        <b/>
        <color rgb="FF000000"/>
      </rPr>
      <t>Instructions:</t>
    </r>
    <r>
      <rPr>
        <rFont val="Arial"/>
        <b val="0"/>
        <color rgb="FF000000"/>
      </rPr>
      <t xml:space="preserve"> Please fill in the expected timing, budget, details, and outcomes relevant to the activities listed in Column C</t>
    </r>
  </si>
  <si>
    <r>
      <rPr>
        <rFont val="arial,sans,sans-serif"/>
        <b/>
        <color rgb="FF000000"/>
      </rPr>
      <t xml:space="preserve">Note: </t>
    </r>
    <r>
      <rPr>
        <rFont val="arial,sans,sans-serif"/>
        <b val="0"/>
        <color rgb="FF000000"/>
      </rPr>
      <t xml:space="preserve">Expenses already incurred are INELIGIBLE. Applicant must be reliant on grant funding for eligible activities.
See the 'Eligible Activities' tab when filling out the table to ensure selected activities are eligible for this program. </t>
    </r>
  </si>
  <si>
    <r>
      <rPr>
        <rFont val="arial,sans,sans-serif"/>
        <b/>
        <color rgb="FF000000"/>
        <sz val="10.0"/>
      </rPr>
      <t xml:space="preserve">Project Start: </t>
    </r>
    <r>
      <rPr>
        <rFont val="arial,sans,sans-serif"/>
        <color rgb="FF000000"/>
        <sz val="10.0"/>
      </rPr>
      <t>April 1, 2025</t>
    </r>
  </si>
  <si>
    <r>
      <rPr>
        <rFont val="arial,sans,sans-serif"/>
        <b/>
        <color rgb="FF000000"/>
        <sz val="10.0"/>
      </rPr>
      <t xml:space="preserve">Project End: </t>
    </r>
    <r>
      <rPr>
        <rFont val="arial,sans,sans-serif"/>
        <color rgb="FF000000"/>
        <sz val="10.0"/>
      </rPr>
      <t>October 31, 2025</t>
    </r>
  </si>
  <si>
    <t>Region 1: US Northeast</t>
  </si>
  <si>
    <t xml:space="preserve">Travel and transportation (max 2 people) - refundable flights and taxi, car rental, etc. </t>
  </si>
  <si>
    <t>Air Canada</t>
  </si>
  <si>
    <t>Economy flight from Vancouver to NYC for 2 Canadian based staff</t>
  </si>
  <si>
    <t>Per diem - max $400 per day per approved traveller</t>
  </si>
  <si>
    <t>Hilton Garden Inn</t>
  </si>
  <si>
    <t xml:space="preserve">Per diem for 2 people for 4 days </t>
  </si>
  <si>
    <t>Mandatory visa fees for target market(s)</t>
  </si>
  <si>
    <t xml:space="preserve">Trade Show - Registration </t>
  </si>
  <si>
    <t>Excite 2026 Conference</t>
  </si>
  <si>
    <t>www.exciteconference.com</t>
  </si>
  <si>
    <t>Meet with 30 leads during the event; 5 distribution partner prospects</t>
  </si>
  <si>
    <t>Design of Marketing Materials (Video Included)</t>
  </si>
  <si>
    <t xml:space="preserve">Focused Video Inc. </t>
  </si>
  <si>
    <t>Video to use in advertising at a tradeshow as we do not have marketing materials that apply to the US</t>
  </si>
  <si>
    <t xml:space="preserve">Alternate way to introduce our company to clients; video is focused on leads in US East financial clientele, and will be 60 seconds long. </t>
  </si>
  <si>
    <t>Development of Marketing Materials</t>
  </si>
  <si>
    <t>Jam Marketing</t>
  </si>
  <si>
    <t>Marketing materials for NE tradeshow</t>
  </si>
  <si>
    <t>Graphic design to adopt for 3 existing brochures for target market at $1,000 each</t>
  </si>
  <si>
    <t>Translating existing marketing materials</t>
  </si>
  <si>
    <t>N/A</t>
  </si>
  <si>
    <t xml:space="preserve">Interpretation services to facilitate teleconference/videoconference meetings </t>
  </si>
  <si>
    <t>Contractual Agreements</t>
  </si>
  <si>
    <t>Grant, Outher and Associates</t>
  </si>
  <si>
    <t>Legal Advice for US Northeast market specific to New York, Connecticut, and Pennslyvnia</t>
  </si>
  <si>
    <t>3 contracts for various distribution partners by state</t>
  </si>
  <si>
    <t xml:space="preserve">   Consultant Expenses</t>
  </si>
  <si>
    <t xml:space="preserve">         1. Business Advice on regulatory issues</t>
  </si>
  <si>
    <t xml:space="preserve">         4. Market Research Consultant</t>
  </si>
  <si>
    <t xml:space="preserve">         5. Sales Consultant / Advisor</t>
  </si>
  <si>
    <t>Michael Smith</t>
  </si>
  <si>
    <t>Sales consultant to identify key contacts</t>
  </si>
  <si>
    <t>Generate 150 leads and facilitate 50 B2B connections</t>
  </si>
  <si>
    <t>Application or registration fees for IP protection and certification</t>
  </si>
  <si>
    <t>Ladner Gervais LLP</t>
  </si>
  <si>
    <t>IP consultation and application</t>
  </si>
  <si>
    <t>Region 2: US Northeast</t>
  </si>
  <si>
    <t>Trade Show - Registration (Virtual)</t>
  </si>
  <si>
    <t>Design of Marketing Materials - Print &amp; Digital (Videos Included)</t>
  </si>
  <si>
    <t>Development of Marketing Materials - Print &amp; Digital (Videos Included)</t>
  </si>
  <si>
    <t>Translating existing marketing materials - Print &amp; Digital (Videos Included)</t>
  </si>
  <si>
    <r>
      <rPr>
        <rFont val="Arial"/>
        <color theme="1"/>
      </rPr>
      <t xml:space="preserve">Online Advertising Costs including SEO </t>
    </r>
    <r>
      <rPr>
        <rFont val="Arial"/>
        <b/>
        <color rgb="FFBF9000"/>
      </rPr>
      <t>(MAX $50,000 in TOTAL grant funding)</t>
    </r>
    <r>
      <rPr>
        <rFont val="Arial"/>
        <color theme="1"/>
      </rPr>
      <t xml:space="preserve">
</t>
    </r>
  </si>
  <si>
    <t xml:space="preserve">Application or registration fees for IP protection and certification. </t>
  </si>
  <si>
    <r>
      <rPr>
        <rFont val="Arial"/>
        <color theme="1"/>
      </rPr>
      <t xml:space="preserve">   Consultant Expenses </t>
    </r>
    <r>
      <rPr>
        <rFont val="Arial"/>
        <b/>
        <color rgb="FFBF9000"/>
      </rPr>
      <t>(Max $50,000 in TOTAL grant funding):</t>
    </r>
  </si>
  <si>
    <r>
      <rPr>
        <rFont val="Arial"/>
        <color theme="1"/>
      </rPr>
      <t xml:space="preserve">     </t>
    </r>
    <r>
      <rPr>
        <rFont val="Arial"/>
        <color theme="1"/>
      </rPr>
      <t xml:space="preserve">    2.</t>
    </r>
    <r>
      <rPr>
        <rFont val="Arial"/>
        <color theme="1"/>
      </rPr>
      <t xml:space="preserve"> </t>
    </r>
    <r>
      <rPr>
        <rFont val="Arial"/>
        <color theme="1"/>
      </rPr>
      <t>Legal or Tax Advice</t>
    </r>
  </si>
  <si>
    <t xml:space="preserve">         3. Digital and e-commerce marketing</t>
  </si>
  <si>
    <t>Region 3: N/A</t>
  </si>
  <si>
    <r>
      <rPr>
        <rFont val="Arial"/>
        <color theme="1"/>
      </rPr>
      <t xml:space="preserve">Online Advertising Costs including SEO </t>
    </r>
    <r>
      <rPr>
        <rFont val="Arial"/>
        <b/>
        <color rgb="FFBF9000"/>
      </rPr>
      <t>(MAX $50,000 in TOTAL grant funding)</t>
    </r>
    <r>
      <rPr>
        <rFont val="Arial"/>
        <color theme="1"/>
      </rPr>
      <t xml:space="preserve">
</t>
    </r>
  </si>
  <si>
    <r>
      <rPr>
        <rFont val="Arial"/>
        <color theme="1"/>
      </rPr>
      <t xml:space="preserve">Consultant Expenses </t>
    </r>
    <r>
      <rPr>
        <rFont val="Arial"/>
        <b/>
        <color rgb="FFBF9000"/>
      </rPr>
      <t>(Max $50,000 in TOTAL grant funding):</t>
    </r>
  </si>
  <si>
    <r>
      <rPr>
        <rFont val="Arial"/>
        <color theme="1"/>
      </rPr>
      <t xml:space="preserve">     </t>
    </r>
    <r>
      <rPr>
        <rFont val="Arial"/>
        <color theme="1"/>
      </rPr>
      <t xml:space="preserve">    2.</t>
    </r>
    <r>
      <rPr>
        <rFont val="Arial"/>
        <color theme="1"/>
      </rPr>
      <t xml:space="preserve"> </t>
    </r>
    <r>
      <rPr>
        <rFont val="Arial"/>
        <color theme="1"/>
      </rPr>
      <t>Legal or Tax Advice</t>
    </r>
  </si>
  <si>
    <t>Region 4: N/A</t>
  </si>
  <si>
    <r>
      <rPr>
        <rFont val="Arial"/>
        <color theme="1"/>
      </rPr>
      <t xml:space="preserve">Online Advertising Costs including SEO </t>
    </r>
    <r>
      <rPr>
        <rFont val="Arial"/>
        <b/>
        <color rgb="FFBF9000"/>
      </rPr>
      <t>(MAX $50,000 in TOTAL grant funding)</t>
    </r>
    <r>
      <rPr>
        <rFont val="Arial"/>
        <color theme="1"/>
      </rPr>
      <t xml:space="preserve">
</t>
    </r>
  </si>
  <si>
    <r>
      <rPr>
        <rFont val="Arial"/>
        <color theme="1"/>
      </rPr>
      <t xml:space="preserve">Consultant Expenses </t>
    </r>
    <r>
      <rPr>
        <rFont val="Arial"/>
        <b/>
        <color rgb="FFBF9000"/>
      </rPr>
      <t>(Max $50,000 in TOTAL grant funding):</t>
    </r>
  </si>
  <si>
    <r>
      <rPr>
        <rFont val="Arial"/>
        <color theme="1"/>
      </rPr>
      <t xml:space="preserve">     </t>
    </r>
    <r>
      <rPr>
        <rFont val="Arial"/>
        <color theme="1"/>
      </rPr>
      <t xml:space="preserve">    2.</t>
    </r>
    <r>
      <rPr>
        <rFont val="Arial"/>
        <color theme="1"/>
      </rPr>
      <t xml:space="preserve"> </t>
    </r>
    <r>
      <rPr>
        <rFont val="Arial"/>
        <color theme="1"/>
      </rPr>
      <t>Legal or Tax Advice</t>
    </r>
  </si>
  <si>
    <t>Region 5: N/A</t>
  </si>
  <si>
    <r>
      <rPr>
        <rFont val="Arial"/>
        <color theme="1"/>
      </rPr>
      <t xml:space="preserve">Online Advertising Costs including SEO </t>
    </r>
    <r>
      <rPr>
        <rFont val="Arial"/>
        <b/>
        <color rgb="FFBF9000"/>
      </rPr>
      <t>(MAX $50,000 in TOTAL grant funding)</t>
    </r>
    <r>
      <rPr>
        <rFont val="Arial"/>
        <color theme="1"/>
      </rPr>
      <t xml:space="preserve">
</t>
    </r>
  </si>
  <si>
    <r>
      <rPr>
        <rFont val="Arial"/>
        <color theme="1"/>
      </rPr>
      <t xml:space="preserve">Consultant Expenses </t>
    </r>
    <r>
      <rPr>
        <rFont val="Arial"/>
        <b/>
        <color rgb="FFBF9000"/>
      </rPr>
      <t>(Max $50,000 in TOTAL grant funding):</t>
    </r>
  </si>
  <si>
    <r>
      <rPr>
        <rFont val="Arial"/>
        <color theme="1"/>
      </rPr>
      <t xml:space="preserve">     </t>
    </r>
    <r>
      <rPr>
        <rFont val="Arial"/>
        <color theme="1"/>
      </rPr>
      <t xml:space="preserve">    2.</t>
    </r>
    <r>
      <rPr>
        <rFont val="Arial"/>
        <color theme="1"/>
      </rPr>
      <t xml:space="preserve"> </t>
    </r>
    <r>
      <rPr>
        <rFont val="Arial"/>
        <color theme="1"/>
      </rPr>
      <t>Legal or Tax Advice</t>
    </r>
  </si>
  <si>
    <t>Total (12 months)</t>
  </si>
  <si>
    <t>Total (12-24 months)</t>
  </si>
  <si>
    <t>If Monthly or Quarterly GST filers, use the sales numbers for the last 12 months.</t>
  </si>
  <si>
    <r>
      <rPr>
        <rFont val="Arial"/>
        <b/>
        <color theme="1"/>
      </rPr>
      <t>Instructions:</t>
    </r>
    <r>
      <rPr>
        <rFont val="Arial"/>
        <color theme="1"/>
      </rPr>
      <t xml:space="preserve"> Please indicate names of potential clients or partners you are targetting for this project, ideally at least 10. 								</t>
    </r>
  </si>
  <si>
    <t>InGen</t>
  </si>
  <si>
    <t>Simon Masrani</t>
  </si>
  <si>
    <t>Digital marketing services</t>
  </si>
  <si>
    <t>Fang and Bone</t>
  </si>
  <si>
    <t>Kilton Storekeep</t>
  </si>
  <si>
    <t>Macmillan Toys</t>
  </si>
  <si>
    <t>Josh Baskin</t>
  </si>
  <si>
    <t xml:space="preserve">MomCorp </t>
  </si>
  <si>
    <t>Carol Miller</t>
  </si>
  <si>
    <t>NERV</t>
  </si>
  <si>
    <t>Gendo Ikari</t>
  </si>
  <si>
    <t>Oceanic Airlines</t>
  </si>
  <si>
    <t>Jack Shepard</t>
  </si>
  <si>
    <t>Omni Consumer Products</t>
  </si>
  <si>
    <t>Richard Jones</t>
  </si>
  <si>
    <t xml:space="preserve">Oscorp </t>
  </si>
  <si>
    <t>Mendel Stromm</t>
  </si>
  <si>
    <t>Paper Street Soap Company</t>
  </si>
  <si>
    <t>Tyler Durden</t>
  </si>
  <si>
    <t>Parker Industries</t>
  </si>
  <si>
    <t>Peter Parker</t>
  </si>
  <si>
    <t>Pearson Specter Litt</t>
  </si>
  <si>
    <t>Harvey Specter</t>
  </si>
  <si>
    <t>Pide Piper</t>
  </si>
  <si>
    <t>Richard Hendricks</t>
  </si>
  <si>
    <t>PolyCon</t>
  </si>
  <si>
    <t>Joseph Caputo</t>
  </si>
  <si>
    <t>Prestige Worldwide</t>
  </si>
  <si>
    <t>Brennan Huff</t>
  </si>
  <si>
    <t>Rekall</t>
  </si>
  <si>
    <t>Douglas Quaid</t>
  </si>
  <si>
    <t>Relaxicab</t>
  </si>
  <si>
    <t>Rachel Green</t>
  </si>
  <si>
    <t>Rent a Swag</t>
  </si>
  <si>
    <t>Tom Haverford</t>
  </si>
  <si>
    <t>Sirius Cybernetics Corp.</t>
  </si>
  <si>
    <t>Arthur Dent</t>
  </si>
  <si>
    <t>Natural Gas Inc</t>
  </si>
  <si>
    <t>Mr Burns</t>
  </si>
  <si>
    <t>Sterling Cooper</t>
  </si>
  <si>
    <t>Don Draper</t>
  </si>
  <si>
    <t>Stratton Oakmont</t>
  </si>
  <si>
    <t>Jordan Belfort</t>
  </si>
  <si>
    <t>TelAmeriCorp</t>
  </si>
  <si>
    <t>Andres Holmvic</t>
  </si>
  <si>
    <t>Massachusetts</t>
  </si>
  <si>
    <t>The Bluth Company</t>
  </si>
  <si>
    <t>Lucille Bluth</t>
  </si>
  <si>
    <t>The Derek Center</t>
  </si>
  <si>
    <t>Derek Zoolander</t>
  </si>
  <si>
    <t>The Estelle Leonard Talent Agency</t>
  </si>
  <si>
    <t>Estelle Leonard</t>
  </si>
  <si>
    <t>The Very Big Corporation of America</t>
  </si>
  <si>
    <t>M. Python</t>
  </si>
  <si>
    <t xml:space="preserve">Tyrell Corp. </t>
  </si>
  <si>
    <t>Dr. Eldon Tyrell</t>
  </si>
  <si>
    <t>Veridian Dynamics</t>
  </si>
  <si>
    <t>Veronica Palmer</t>
  </si>
  <si>
    <t>Yubaba</t>
  </si>
  <si>
    <t>Sen</t>
  </si>
  <si>
    <t>Weyland Yutani</t>
  </si>
  <si>
    <t>Ellen Ripley</t>
  </si>
  <si>
    <t>USA</t>
  </si>
  <si>
    <t>East-Central</t>
  </si>
  <si>
    <t>North &amp; West</t>
  </si>
  <si>
    <t>Sao Paulo</t>
  </si>
  <si>
    <t>South</t>
  </si>
  <si>
    <t>Espirito Santo</t>
  </si>
  <si>
    <t>Acre</t>
  </si>
  <si>
    <t>Sao Paulo State</t>
  </si>
  <si>
    <t>Parana</t>
  </si>
  <si>
    <t>Minas Gerais</t>
  </si>
  <si>
    <t>Alagoas</t>
  </si>
  <si>
    <t>Rio Grande do Sul</t>
  </si>
  <si>
    <t>Rio de Janeiro States</t>
  </si>
  <si>
    <t>Amapa</t>
  </si>
  <si>
    <t>Santa Catarina States</t>
  </si>
  <si>
    <t>Amazonas</t>
  </si>
  <si>
    <t>Bahia</t>
  </si>
  <si>
    <t>Ceara</t>
  </si>
  <si>
    <t>Distrito Federal</t>
  </si>
  <si>
    <t>Goias</t>
  </si>
  <si>
    <t>Maranho</t>
  </si>
  <si>
    <t>Mato Grosso</t>
  </si>
  <si>
    <t>Mato Grosso do Sul</t>
  </si>
  <si>
    <t>Para</t>
  </si>
  <si>
    <t>Paraiba</t>
  </si>
  <si>
    <t>Pernambuco</t>
  </si>
  <si>
    <t>Piaui</t>
  </si>
  <si>
    <t>Rio Grande do Norte</t>
  </si>
  <si>
    <t>Rondonia</t>
  </si>
  <si>
    <t>Roraima</t>
  </si>
  <si>
    <t>Wergipe</t>
  </si>
  <si>
    <t>Tocantins States</t>
  </si>
  <si>
    <t>East</t>
  </si>
  <si>
    <t>North</t>
  </si>
  <si>
    <t>West</t>
  </si>
  <si>
    <t>North/East</t>
  </si>
  <si>
    <t>Shanghai/Anhui</t>
  </si>
  <si>
    <t>Beijing</t>
  </si>
  <si>
    <t>Fujian</t>
  </si>
  <si>
    <t>Chongqing</t>
  </si>
  <si>
    <t>Jharkhand</t>
  </si>
  <si>
    <t>Andhra Pradesh</t>
  </si>
  <si>
    <t>Dadra/Nagar Haveli</t>
  </si>
  <si>
    <t>Hubei</t>
  </si>
  <si>
    <t>Tianjin</t>
  </si>
  <si>
    <t>Hainan</t>
  </si>
  <si>
    <t>Guizhou</t>
  </si>
  <si>
    <t>Arunachal Pradesh</t>
  </si>
  <si>
    <t>Kerala</t>
  </si>
  <si>
    <t>Daman</t>
  </si>
  <si>
    <t>Jiansu</t>
  </si>
  <si>
    <t>Gansu Provinces</t>
  </si>
  <si>
    <t>Hunan</t>
  </si>
  <si>
    <t>Sichuan</t>
  </si>
  <si>
    <t>Assam</t>
  </si>
  <si>
    <t>Karnataka</t>
  </si>
  <si>
    <t>Diu States</t>
  </si>
  <si>
    <t>Zhejiang</t>
  </si>
  <si>
    <t>Hebei</t>
  </si>
  <si>
    <t>Guangdon</t>
  </si>
  <si>
    <t>Yunnan</t>
  </si>
  <si>
    <t>Bihar</t>
  </si>
  <si>
    <t>Tamil Nadu</t>
  </si>
  <si>
    <t>Goa</t>
  </si>
  <si>
    <t>Heilongjiang</t>
  </si>
  <si>
    <t>Guangxi</t>
  </si>
  <si>
    <t>Chandigarh Union</t>
  </si>
  <si>
    <t>Telangana</t>
  </si>
  <si>
    <t>Gujarat</t>
  </si>
  <si>
    <t>Henan</t>
  </si>
  <si>
    <t>Jiangxi</t>
  </si>
  <si>
    <t>Chhattisgarh</t>
  </si>
  <si>
    <t>Madhya Pradesh</t>
  </si>
  <si>
    <t>Inner Mogolia</t>
  </si>
  <si>
    <t>Haryana</t>
  </si>
  <si>
    <t>Maharashtra</t>
  </si>
  <si>
    <t>Jilin</t>
  </si>
  <si>
    <t>Himachal Pradesh</t>
  </si>
  <si>
    <t>Liaoning</t>
  </si>
  <si>
    <t>Jammu/Kashmir</t>
  </si>
  <si>
    <t>Ningxia</t>
  </si>
  <si>
    <t>Qinghai</t>
  </si>
  <si>
    <t>Shaanxi</t>
  </si>
  <si>
    <t>Shandong</t>
  </si>
  <si>
    <t>Shanxi</t>
  </si>
  <si>
    <t>Tibet</t>
  </si>
  <si>
    <t>Xinjiang</t>
  </si>
  <si>
    <t>Funding Limits</t>
  </si>
  <si>
    <t>Any expenses already incurred are considered ineligible. Budget items must be paid for AFTER approval is issued.</t>
  </si>
  <si>
    <t>Sales Eligible Expenses</t>
  </si>
  <si>
    <t>Notes</t>
  </si>
  <si>
    <t>Sales Consultants</t>
  </si>
  <si>
    <t>Not on a monthly retainer, not on pure commission, ideally for a project to engage potential buyers, setup meetings, etc.</t>
  </si>
  <si>
    <t>Leads lists</t>
  </si>
  <si>
    <t>Purchase of list of leads to target in desired region</t>
  </si>
  <si>
    <t>Distribution Agreement Costs</t>
  </si>
  <si>
    <t>Fees associated to securing distributors or sales representatives</t>
  </si>
  <si>
    <t>Advisory Costs</t>
  </si>
  <si>
    <t>Legal Contract Expenses</t>
  </si>
  <si>
    <t>Business taxes consulting</t>
  </si>
  <si>
    <t>Tax advice</t>
  </si>
  <si>
    <t>Regulatory advice</t>
  </si>
  <si>
    <t>IP Protection</t>
  </si>
  <si>
    <t>IP Protection/application fees related to necessary certification for target market access</t>
  </si>
  <si>
    <t>Marketing Expenses</t>
  </si>
  <si>
    <t>Market research</t>
  </si>
  <si>
    <t>In-depth for a particular region, not preliminary market on a target region -- as market statistics and buyer personas should be established in advance.</t>
  </si>
  <si>
    <t>Consultancy Fees</t>
  </si>
  <si>
    <t>Technology feasibility studies, info gathering and analysis of sales targets, identification of key targets</t>
  </si>
  <si>
    <t>Market data purchase</t>
  </si>
  <si>
    <t>Market research software or subscription (i.e. paid market reports) - requires justification.</t>
  </si>
  <si>
    <t>Shipping and handling</t>
  </si>
  <si>
    <t>Brochures and trade show materials (to trade shows) only</t>
  </si>
  <si>
    <t>Marketing Materials</t>
  </si>
  <si>
    <t>Design of materials such as sell sheets, brochures, catalogs, etc. (printing is eligible for trade shows only)</t>
  </si>
  <si>
    <t>Translation Costs</t>
  </si>
  <si>
    <t>For marketing materials to adapt to new market (if not English speaking) or for sales meetings</t>
  </si>
  <si>
    <t>Event Expenses</t>
  </si>
  <si>
    <t>Registration and participating costs for In-Person Tradeshows</t>
  </si>
  <si>
    <t>Tradeshows, conference, seminars and international forums also applicable, max 2 people</t>
  </si>
  <si>
    <t>Travel</t>
  </si>
  <si>
    <t>Flights, Car Rental, Hotel/AirBnB Accommodations, Taxis, etc. for up to 2 people per trip</t>
  </si>
  <si>
    <t>Tradeshow booth, marketing materials, samples to be used at an in-person tradeshow</t>
  </si>
  <si>
    <t>Tradeshow booth costs</t>
  </si>
  <si>
    <t>Design and build</t>
  </si>
  <si>
    <t>Space rental for events</t>
  </si>
  <si>
    <t>Room rentals to host an event that brings in buyers and influencers in the target region</t>
  </si>
  <si>
    <t>Meeting room reservation cost</t>
  </si>
  <si>
    <t>For meetings in the local target region (i.e. hotel conference rooms, WeWork boardrooms, etc.)</t>
  </si>
  <si>
    <t>Travel for meetings/events with key contacts from target market (Category A)</t>
  </si>
  <si>
    <t>1. Travel expenses incurred for markets and destinations that are not approved in your funding agreement</t>
  </si>
  <si>
    <t>2. Travel expenses for employees already residing or based in the target market(s)</t>
  </si>
  <si>
    <t>3. Travel costs for individuals that are not executives of and/or employed by the Canadian applicant company (such as consultant, interpreter, outside legal counsel, foreign partner representative, etc.)</t>
  </si>
  <si>
    <t>4. Reinstatement or refund of reward program points (for example Air Miles, Aeroplan, World points, or any other barter system)</t>
  </si>
  <si>
    <t>5. Cell phone charges such as international roaming charges or data plans, and Wi-Fi fees</t>
  </si>
  <si>
    <t>6. Costs related to obtaining a passport or vaccinations</t>
  </si>
  <si>
    <t>7. Expenses related to the use of a personal vehicle (employee, owner or company vehicle)</t>
  </si>
  <si>
    <t>8. Airfare that is business class, first class or any other classes above economy class</t>
  </si>
  <si>
    <t>9. Insurance (such as travel, medical, dental or rental insurance)</t>
  </si>
  <si>
    <t>10. Travel from and to a country other than Canada</t>
  </si>
  <si>
    <t>11. Costs of hospitality (including bar tabs), entertainment and gifts</t>
  </si>
  <si>
    <t>Participation in trade events to meet key contacts from target market (Category B)</t>
  </si>
  <si>
    <t>1. Trade events in Canada</t>
  </si>
  <si>
    <r>
      <rPr>
        <rFont val="Arial"/>
        <color rgb="FF000000"/>
        <sz val="10.0"/>
      </rPr>
      <t xml:space="preserve">2. Participation in any event covered by Agriculture and Agri-food Canada’s </t>
    </r>
    <r>
      <rPr>
        <rFont val="Arial"/>
        <color rgb="FF000000"/>
        <sz val="10.0"/>
      </rPr>
      <t>Canada Pavilion Program</t>
    </r>
  </si>
  <si>
    <t>3. Production of samples</t>
  </si>
  <si>
    <t>4. Event sponsorship (unless it is a requirement for participation in the event)</t>
  </si>
  <si>
    <t>5. Membership fees</t>
  </si>
  <si>
    <t>6. Company branded apparel</t>
  </si>
  <si>
    <t>Marketing tools creation, adaptation and translation for target market (Category C)</t>
  </si>
  <si>
    <t>1. CanExport SMEs does not support costs related to “core” marketing and promotional materials that support your company’s operations in Canada. These include creating a Canadian website or software development expenses.</t>
  </si>
  <si>
    <t>2. Website application, maintenance and hosting fees</t>
  </si>
  <si>
    <t>3. Fees for influencers and Key Opinion Leaders</t>
  </si>
  <si>
    <t>4. Fees to access online marketplaces (ex. Alibaba, Amazon, TMall)</t>
  </si>
  <si>
    <t>5. Subscriptions and fees to access e-commerce platforms (ex. BigCommerce, Shopify, 3dcart, WooCommerce, Volusion, PrestaShop, Weebly, SquareSpace, Magento and Wix)</t>
  </si>
  <si>
    <t>6. SaaS marketing tools</t>
  </si>
  <si>
    <t>7. Crowdfunding projects</t>
  </si>
  <si>
    <t>8. Sales training</t>
  </si>
  <si>
    <t>9. SEO, Digital or online advertising that is not relevnat to a trade event, or traditional advertising (ex. print ads or radio ads)</t>
  </si>
  <si>
    <t>10. Promotional or giveaway items (pens, mugs, umbrellas, tote bags, t-shirts, etc.)</t>
  </si>
  <si>
    <r>
      <rPr>
        <rFont val="Arial"/>
        <color theme="1"/>
      </rPr>
      <t xml:space="preserve">11. Costs associated with </t>
    </r>
    <r>
      <rPr>
        <rFont val="Arial"/>
        <b/>
        <color theme="1"/>
      </rPr>
      <t>developing or building a prototype</t>
    </r>
    <r>
      <rPr>
        <rFont val="Arial"/>
        <color theme="1"/>
      </rPr>
      <t xml:space="preserve"> for target market</t>
    </r>
  </si>
  <si>
    <t>12. Terms such as 'content creation', 'copywriting', and 'contractor' will not be approved</t>
  </si>
  <si>
    <t>Interpretation services for target market (Category D)</t>
  </si>
  <si>
    <t>1. Interpreter must be an independent contractor and cannot be an employee of your company</t>
  </si>
  <si>
    <t>2. Travel expenses and per diem for an interpreter</t>
  </si>
  <si>
    <t>Intellectual property protection, certification and adaptation of contracts for target market (Category E)</t>
  </si>
  <si>
    <t>1. Application fees for the protection of intellectual property (IP) within Canada.</t>
  </si>
  <si>
    <t>2. Expenses related to testing, examinations or inspections required for certification.</t>
  </si>
  <si>
    <t>3. Fees for the registration of a company in a foreign country.</t>
  </si>
  <si>
    <t>4. Any product development, production or distribution expenses.</t>
  </si>
  <si>
    <t>5. Expenses relating to lobbying, public relations, policy development and influence</t>
  </si>
  <si>
    <t>Consultant - business, tax and legal advice for target markets (Category F)</t>
  </si>
  <si>
    <t>1. The following expenses are ineligible: Travel and per diem expenses that a consultant does not include within their overall fee</t>
  </si>
  <si>
    <t>2. Salary of an in-market representative or local employee who is conducting core business activities</t>
  </si>
  <si>
    <t>3. Retainer fees paid on a monthly basis</t>
  </si>
  <si>
    <t>4. Goods and Services Tax (GST), including any GST share of the Harmonized Sales Tax</t>
  </si>
  <si>
    <t>5. Any refundable portion of taxes, duties or other items for which a refund or rebate is available (ex. carbon taxes and credits)</t>
  </si>
  <si>
    <t>Consultant - Market research, feasibility studies, identification of key contacts and b2b facilitation for target market (Category G)</t>
  </si>
  <si>
    <t>1. Expenses are ineligible where there is indication of an employer-employee relationship</t>
  </si>
  <si>
    <t>2. Travel and per diem expenses that a consultant did not include within their overall fee</t>
  </si>
  <si>
    <t>3. Salary for an in-market representative/local employee who is conducting core business activities</t>
  </si>
  <si>
    <t>4. Retainer fees paid on a monthly basis</t>
  </si>
  <si>
    <t>5. Honoraria for professional services</t>
  </si>
  <si>
    <t>Other</t>
  </si>
  <si>
    <t>1. Ongoing, regular operational activities or core business, including product development, production and distribution expenses</t>
  </si>
  <si>
    <t>2. Expenses for activities taking place outside of the project phase of the funding agreement</t>
  </si>
  <si>
    <t>3. Expenses related to non-specified activities, such as those marked “To Be Confirmed”</t>
  </si>
  <si>
    <t>4. Expenses related to preparing an application for CanExport SMEs or submitting claims</t>
  </si>
  <si>
    <t>5. Capital costs and office supplies (such as computers, office equipment, audio-visual equipment, office space, supplies and business cards)</t>
  </si>
  <si>
    <t>6. Overhead expenses (such as warehousing, long term legal services, utilities and photocopying)</t>
  </si>
  <si>
    <t>7. All other costs that could be deemed as subsidizing a product's selling price, therefore contravening Canada’s international trade obligations. The CanExport SMES program reserves the right to make this determination.</t>
  </si>
  <si>
    <t>8. Entertainment &amp; hospitality, event sponsorship and membership fees.</t>
  </si>
  <si>
    <t>9. Expenses related to the use of personal vehicle;</t>
  </si>
  <si>
    <t>10. Any equipment cannot be sold internationally in that target market, must come back to Canada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</si>
</sst>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
    <numFmt numFmtId="165" formatCode="M/d/yyyy"/>
    <numFmt numFmtId="166" formatCode="&quot;$&quot;#,##0.00"/>
    <numFmt numFmtId="167" formatCode="m/d/yyyy"/>
    <numFmt numFmtId="168" formatCode="mm/dd/yyyy"/>
    <numFmt numFmtId="169" formatCode="mmmm d"/>
  </numFmts>
  <fonts count="66">
    <font>
      <sz val="10.0"/>
      <color rgb="FF000000"/>
      <name val="Arial"/>
      <scheme val="minor"/>
    </font>
    <font>
      <color theme="1"/>
      <name val="Arial"/>
    </font>
    <font>
      <b/>
      <sz val="13.0"/>
      <color rgb="FF38761D"/>
      <name val="Arial"/>
    </font>
    <font/>
    <font>
      <b/>
      <color theme="1"/>
      <name val="Arial"/>
    </font>
    <font>
      <color theme="1"/>
      <name val="Arial"/>
      <scheme val="minor"/>
    </font>
    <font>
      <b/>
      <color rgb="FF38761D"/>
      <name val="Arial"/>
    </font>
    <font>
      <i/>
      <sz val="9.0"/>
      <color rgb="FF000000"/>
      <name val="Arial"/>
    </font>
    <font>
      <sz val="9.0"/>
      <color theme="1"/>
      <name val="Arial"/>
    </font>
    <font>
      <i/>
      <sz val="9.0"/>
      <color theme="1"/>
      <name val="Arial"/>
    </font>
    <font>
      <b/>
      <sz val="13.0"/>
      <color rgb="FF0B5394"/>
      <name val="Arial"/>
    </font>
    <font>
      <b/>
      <sz val="11.0"/>
      <color rgb="FF000000"/>
      <name val="Arial"/>
      <scheme val="minor"/>
    </font>
    <font>
      <color rgb="FFFF0000"/>
      <name val="Arial"/>
      <scheme val="minor"/>
    </font>
    <font>
      <b/>
      <color rgb="FFFFFFFF"/>
      <name val="Arial"/>
      <scheme val="minor"/>
    </font>
    <font>
      <b/>
      <color theme="1"/>
      <name val="Arial"/>
      <scheme val="minor"/>
    </font>
    <font>
      <color rgb="FF000000"/>
      <name val="Arial"/>
    </font>
    <font>
      <b/>
      <color rgb="FF000000"/>
      <name val="Arial"/>
      <scheme val="minor"/>
    </font>
    <font>
      <sz val="11.0"/>
      <color theme="1"/>
      <name val="Arial"/>
    </font>
    <font>
      <b/>
      <sz val="11.0"/>
      <color theme="1"/>
      <name val="Arial"/>
    </font>
    <font>
      <b/>
      <sz val="11.0"/>
      <color rgb="FFFFFFFF"/>
      <name val="Arial"/>
    </font>
    <font>
      <b/>
      <sz val="11.0"/>
      <color rgb="FF990000"/>
      <name val="Arial"/>
    </font>
    <font>
      <b/>
      <sz val="11.0"/>
      <color rgb="FF000000"/>
      <name val="Arial"/>
    </font>
    <font>
      <b/>
      <sz val="11.0"/>
      <color rgb="FFFF0000"/>
      <name val="Arial"/>
    </font>
    <font>
      <sz val="11.0"/>
      <color rgb="FF000000"/>
      <name val="Arial"/>
    </font>
    <font>
      <sz val="11.0"/>
      <color rgb="FF333333"/>
      <name val="Arial"/>
    </font>
    <font>
      <sz val="10.0"/>
      <color theme="1"/>
      <name val="Arial"/>
      <scheme val="minor"/>
    </font>
    <font>
      <b/>
      <sz val="10.0"/>
      <color rgb="FF000000"/>
      <name val="Arial"/>
    </font>
    <font>
      <sz val="10.0"/>
      <color theme="1"/>
      <name val="Arial"/>
    </font>
    <font>
      <b/>
      <color rgb="FF000000"/>
      <name val="Arial"/>
    </font>
    <font>
      <b/>
      <sz val="10.0"/>
      <color theme="1"/>
      <name val="Arial"/>
    </font>
    <font>
      <u/>
      <color rgb="FF0000FF"/>
      <name val="Arial"/>
    </font>
    <font>
      <b/>
      <sz val="12.0"/>
      <color rgb="FFFFFFFF"/>
      <name val="Arial"/>
    </font>
    <font>
      <b/>
      <i/>
      <color theme="1"/>
      <name val="Arial"/>
      <scheme val="minor"/>
    </font>
    <font>
      <sz val="9.0"/>
      <color theme="1"/>
      <name val="Arial"/>
      <scheme val="minor"/>
    </font>
    <font>
      <sz val="9.0"/>
      <color rgb="FF999999"/>
      <name val="Arial"/>
      <scheme val="minor"/>
    </font>
    <font>
      <sz val="9.0"/>
      <color rgb="FFFF0000"/>
      <name val="Arial"/>
      <scheme val="minor"/>
    </font>
    <font>
      <u/>
      <sz val="9.0"/>
      <color rgb="FF0000FF"/>
    </font>
    <font>
      <i/>
      <sz val="9.0"/>
      <color theme="1"/>
      <name val="Arial"/>
      <scheme val="minor"/>
    </font>
    <font>
      <b/>
      <i/>
      <sz val="9.0"/>
      <color theme="1"/>
      <name val="Arial"/>
      <scheme val="minor"/>
    </font>
    <font>
      <sz val="9.0"/>
      <color rgb="FF0000FF"/>
      <name val="Arial"/>
      <scheme val="minor"/>
    </font>
    <font>
      <b/>
      <sz val="11.0"/>
      <color rgb="FFFFFFFF"/>
      <name val="Arial"/>
      <scheme val="minor"/>
    </font>
    <font>
      <sz val="10.0"/>
      <color rgb="FF000000"/>
      <name val="Arial"/>
    </font>
    <font>
      <sz val="9.0"/>
      <color rgb="FF000000"/>
      <name val="Arial"/>
      <scheme val="minor"/>
    </font>
    <font>
      <u/>
      <sz val="9.0"/>
      <color rgb="FF1155CC"/>
      <name val="Arial"/>
      <scheme val="minor"/>
    </font>
    <font>
      <u/>
      <sz val="9.0"/>
      <color rgb="FF1155CC"/>
    </font>
    <font>
      <color rgb="FF0000FF"/>
      <name val="Arial"/>
      <scheme val="minor"/>
    </font>
    <font>
      <b/>
      <color rgb="FFFFFFFF"/>
      <name val="Arial"/>
    </font>
    <font>
      <b/>
      <color rgb="FF990000"/>
      <name val="Arial"/>
    </font>
    <font>
      <sz val="11.0"/>
      <color rgb="FF000000"/>
      <name val="Inconsolata"/>
    </font>
    <font>
      <sz val="11.0"/>
      <color rgb="FF000000"/>
      <name val="Calibri"/>
    </font>
    <font>
      <sz val="10.0"/>
      <color rgb="FF333333"/>
      <name val="Arial"/>
    </font>
    <font>
      <sz val="10.0"/>
      <color rgb="FF222222"/>
      <name val="Arial"/>
    </font>
    <font>
      <sz val="14.0"/>
      <color theme="1"/>
      <name val="Arial"/>
      <scheme val="minor"/>
    </font>
    <font>
      <b/>
      <sz val="14.0"/>
      <color rgb="FFFFFFFF"/>
      <name val="Arial"/>
    </font>
    <font>
      <b/>
      <sz val="14.0"/>
      <color rgb="FFFFFFFF"/>
      <name val="Lato"/>
    </font>
    <font>
      <sz val="11.0"/>
      <color theme="1"/>
      <name val="Arial"/>
      <scheme val="minor"/>
    </font>
    <font>
      <b/>
      <sz val="11.0"/>
      <color rgb="FF333333"/>
      <name val="Arial"/>
    </font>
    <font>
      <sz val="12.0"/>
      <color theme="1"/>
      <name val="Arial"/>
    </font>
    <font>
      <sz val="14.0"/>
      <color theme="1"/>
      <name val="Arial"/>
    </font>
    <font>
      <color rgb="FF000000"/>
      <name val="Roboto"/>
    </font>
    <font>
      <sz val="30.0"/>
      <color rgb="FF333333"/>
      <name val="Lato"/>
    </font>
    <font>
      <b/>
      <sz val="12.0"/>
      <color rgb="FF333333"/>
      <name val="&quot;Noto Sans&quot;"/>
    </font>
    <font>
      <b/>
      <sz val="12.0"/>
      <color rgb="FF000000"/>
      <name val="Arial"/>
    </font>
    <font>
      <sz val="12.0"/>
      <color rgb="FF000000"/>
      <name val="Lato"/>
    </font>
    <font>
      <color rgb="FF000000"/>
      <name val="Arial"/>
      <scheme val="minor"/>
    </font>
    <font>
      <b/>
      <sz val="14.0"/>
      <color rgb="FF000000"/>
      <name val="Arial"/>
    </font>
  </fonts>
  <fills count="20">
    <fill>
      <patternFill patternType="none"/>
    </fill>
    <fill>
      <patternFill patternType="lightGray"/>
    </fill>
    <fill>
      <patternFill patternType="solid">
        <fgColor rgb="FFEFEFEF"/>
        <bgColor rgb="FFEFEFEF"/>
      </patternFill>
    </fill>
    <fill>
      <patternFill patternType="solid">
        <fgColor rgb="FFE6B8AF"/>
        <bgColor rgb="FFE6B8AF"/>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D9D9D9"/>
        <bgColor rgb="FFD9D9D9"/>
      </patternFill>
    </fill>
    <fill>
      <patternFill patternType="solid">
        <fgColor rgb="FF0B5394"/>
        <bgColor rgb="FF0B5394"/>
      </patternFill>
    </fill>
    <fill>
      <patternFill patternType="solid">
        <fgColor rgb="FFBF9000"/>
        <bgColor rgb="FFBF9000"/>
      </patternFill>
    </fill>
    <fill>
      <patternFill patternType="solid">
        <fgColor rgb="FFFFE599"/>
        <bgColor rgb="FFFFE599"/>
      </patternFill>
    </fill>
    <fill>
      <patternFill patternType="solid">
        <fgColor rgb="FF940B30"/>
        <bgColor rgb="FF940B30"/>
      </patternFill>
    </fill>
    <fill>
      <patternFill patternType="solid">
        <fgColor rgb="FFEA9999"/>
        <bgColor rgb="FFEA9999"/>
      </patternFill>
    </fill>
    <fill>
      <patternFill patternType="solid">
        <fgColor rgb="FFCCCCCC"/>
        <bgColor rgb="FFCCCCCC"/>
      </patternFill>
    </fill>
    <fill>
      <patternFill patternType="solid">
        <fgColor rgb="FFFFFF00"/>
        <bgColor rgb="FFFFFF00"/>
      </patternFill>
    </fill>
    <fill>
      <patternFill patternType="solid">
        <fgColor rgb="FFF3F3F3"/>
        <bgColor rgb="FFF3F3F3"/>
      </patternFill>
    </fill>
    <fill>
      <patternFill patternType="solid">
        <fgColor rgb="FFF4CCCC"/>
        <bgColor rgb="FFF4CCCC"/>
      </patternFill>
    </fill>
  </fills>
  <borders count="118">
    <border/>
    <border>
      <right style="thin">
        <color rgb="FFFFFFFF"/>
      </right>
      <bottom style="thin">
        <color rgb="FFFFFFFF"/>
      </bottom>
    </border>
    <border>
      <left style="thin">
        <color rgb="FFFFFFFF"/>
      </left>
      <right style="thin">
        <color rgb="FFFFFFFF"/>
      </right>
    </border>
    <border>
      <left style="thin">
        <color rgb="FFFFFFFF"/>
      </left>
      <right style="thin">
        <color rgb="FFFFFFFF"/>
      </right>
      <bottom style="thin">
        <color rgb="FFFFFFFF"/>
      </bottom>
    </border>
    <border>
      <left style="thin">
        <color rgb="FFFFFFFF"/>
      </left>
      <bottom style="thin">
        <color rgb="FFFFFFFF"/>
      </bottom>
    </border>
    <border>
      <top style="thin">
        <color rgb="FFFFFFFF"/>
      </top>
      <bottom style="thin">
        <color rgb="FFFFFFFF"/>
      </bottom>
    </border>
    <border>
      <left style="medium">
        <color rgb="FF274E13"/>
      </left>
      <top style="medium">
        <color rgb="FF274E13"/>
      </top>
    </border>
    <border>
      <top style="medium">
        <color rgb="FF274E13"/>
      </top>
    </border>
    <border>
      <right style="medium">
        <color rgb="FF274E13"/>
      </right>
      <top style="medium">
        <color rgb="FF274E13"/>
      </top>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274E13"/>
      </left>
    </border>
    <border>
      <right style="medium">
        <color rgb="FF274E13"/>
      </right>
    </border>
    <border>
      <left style="medium">
        <color rgb="FF274E13"/>
      </left>
      <bottom style="medium">
        <color rgb="FF274E13"/>
      </bottom>
    </border>
    <border>
      <bottom style="medium">
        <color rgb="FF274E13"/>
      </bottom>
    </border>
    <border>
      <right style="medium">
        <color rgb="FF274E13"/>
      </right>
      <bottom style="medium">
        <color rgb="FF274E13"/>
      </bottom>
    </border>
    <border>
      <left style="medium">
        <color rgb="FF274E13"/>
      </left>
      <top style="medium">
        <color rgb="FF274E13"/>
      </top>
      <bottom style="medium">
        <color rgb="FF274E13"/>
      </bottom>
    </border>
    <border>
      <top style="medium">
        <color rgb="FF274E13"/>
      </top>
      <bottom style="medium">
        <color rgb="FF274E13"/>
      </bottom>
    </border>
    <border>
      <right style="medium">
        <color rgb="FF274E13"/>
      </right>
      <top style="medium">
        <color rgb="FF274E13"/>
      </top>
      <bottom style="medium">
        <color rgb="FF274E13"/>
      </bottom>
    </border>
    <border>
      <left style="medium">
        <color rgb="FF274E13"/>
      </left>
      <right style="thin">
        <color rgb="FFFFFFFF"/>
      </right>
      <bottom style="thin">
        <color rgb="FFFFFFFF"/>
      </bottom>
    </border>
    <border>
      <left style="thin">
        <color rgb="FFFFFFFF"/>
      </left>
      <right style="medium">
        <color rgb="FF274E13"/>
      </right>
      <bottom style="thin">
        <color rgb="FFFFFFFF"/>
      </bottom>
    </border>
    <border>
      <left style="medium">
        <color rgb="FF274E13"/>
      </left>
      <right style="thin">
        <color rgb="FFFFFFFF"/>
      </right>
      <top style="thin">
        <color rgb="FFFFFFFF"/>
      </top>
      <bottom style="thin">
        <color rgb="FFFFFFFF"/>
      </bottom>
    </border>
    <border>
      <left style="thin">
        <color rgb="FFFFFFFF"/>
      </left>
      <right style="medium">
        <color rgb="FF274E13"/>
      </right>
      <top style="thin">
        <color rgb="FFFFFFFF"/>
      </top>
      <bottom style="thin">
        <color rgb="FFFFFFFF"/>
      </bottom>
    </border>
    <border>
      <left style="medium">
        <color rgb="FF274E13"/>
      </left>
      <right style="thin">
        <color rgb="FFFFFFFF"/>
      </right>
      <top style="thin">
        <color rgb="FFFFFFFF"/>
      </top>
      <bottom style="medium">
        <color rgb="FF274E13"/>
      </bottom>
    </border>
    <border>
      <left style="thin">
        <color rgb="FFFFFFFF"/>
      </left>
      <right style="medium">
        <color rgb="FF274E13"/>
      </right>
      <top style="thin">
        <color rgb="FFFFFFFF"/>
      </top>
      <bottom style="medium">
        <color rgb="FF274E13"/>
      </bottom>
    </border>
    <border>
      <left style="thin">
        <color rgb="FFFFFFFF"/>
      </left>
      <right style="thin">
        <color rgb="FFFFFFFF"/>
      </right>
      <top style="thin">
        <color rgb="FFFFFFFF"/>
      </top>
      <bottom style="medium">
        <color rgb="FFFFFFFF"/>
      </bottom>
    </border>
    <border>
      <top style="medium">
        <color rgb="FFFFFFFF"/>
      </top>
      <bottom style="medium">
        <color rgb="FFFFFFFF"/>
      </bottom>
    </border>
    <border>
      <left style="thin">
        <color rgb="FFFFFFFF"/>
      </left>
      <right style="thin">
        <color rgb="FFFFFFFF"/>
      </right>
      <top style="medium">
        <color rgb="FFFFFFFF"/>
      </top>
      <bottom style="thin">
        <color rgb="FFFFFFFF"/>
      </bottom>
    </border>
    <border>
      <left style="thin">
        <color rgb="FFFFFFFF"/>
      </left>
      <top style="thin">
        <color rgb="FFFFFFFF"/>
      </top>
    </border>
    <border>
      <top style="thin">
        <color rgb="FFFFFFFF"/>
      </top>
    </border>
    <border>
      <left style="medium">
        <color rgb="FF0B5394"/>
      </left>
      <top style="medium">
        <color rgb="FF0B5394"/>
      </top>
      <bottom style="medium">
        <color rgb="FF0B5394"/>
      </bottom>
    </border>
    <border>
      <top style="medium">
        <color rgb="FF0B5394"/>
      </top>
      <bottom style="medium">
        <color rgb="FF0B5394"/>
      </bottom>
    </border>
    <border>
      <right style="medium">
        <color rgb="FF0B5394"/>
      </right>
      <top style="medium">
        <color rgb="FF0B5394"/>
      </top>
      <bottom style="medium">
        <color rgb="FF0B5394"/>
      </bottom>
    </border>
    <border>
      <left style="thin">
        <color rgb="FFFFFFFF"/>
      </left>
    </border>
    <border>
      <right style="thin">
        <color rgb="FFFFFFFF"/>
      </right>
    </border>
    <border>
      <left style="medium">
        <color rgb="FF0B5394"/>
      </left>
      <bottom style="thin">
        <color rgb="FFCFE2F3"/>
      </bottom>
    </border>
    <border>
      <bottom style="thin">
        <color rgb="FFCFE2F3"/>
      </bottom>
    </border>
    <border>
      <right style="medium">
        <color rgb="FF0B5394"/>
      </right>
      <bottom style="thin">
        <color rgb="FFCFE2F3"/>
      </bottom>
    </border>
    <border>
      <left style="medium">
        <color rgb="FF0B5394"/>
      </left>
      <top style="thin">
        <color rgb="FFCFE2F3"/>
      </top>
      <bottom style="thin">
        <color rgb="FFCFE2F3"/>
      </bottom>
    </border>
    <border>
      <top style="thin">
        <color rgb="FFCFE2F3"/>
      </top>
      <bottom style="thin">
        <color rgb="FFCFE2F3"/>
      </bottom>
    </border>
    <border>
      <right style="medium">
        <color rgb="FF0B5394"/>
      </right>
      <top style="thin">
        <color rgb="FFCFE2F3"/>
      </top>
      <bottom style="thin">
        <color rgb="FFCFE2F3"/>
      </bottom>
    </border>
    <border>
      <left style="medium">
        <color rgb="FF0B5394"/>
      </left>
      <top style="thin">
        <color rgb="FFCFE2F3"/>
      </top>
      <bottom style="medium">
        <color rgb="FF0B5394"/>
      </bottom>
    </border>
    <border>
      <top style="thin">
        <color rgb="FFCFE2F3"/>
      </top>
      <bottom style="medium">
        <color rgb="FF0B5394"/>
      </bottom>
    </border>
    <border>
      <right style="medium">
        <color rgb="FF0B5394"/>
      </right>
      <top style="thin">
        <color rgb="FFCFE2F3"/>
      </top>
      <bottom style="medium">
        <color rgb="FF0B5394"/>
      </bottom>
    </border>
    <border>
      <left style="medium">
        <color rgb="FFBF9000"/>
      </left>
      <top style="medium">
        <color rgb="FFBF9000"/>
      </top>
      <bottom style="medium">
        <color rgb="FFBF9000"/>
      </bottom>
    </border>
    <border>
      <top style="medium">
        <color rgb="FFBF9000"/>
      </top>
      <bottom style="medium">
        <color rgb="FFBF9000"/>
      </bottom>
    </border>
    <border>
      <right style="medium">
        <color rgb="FFBF9000"/>
      </right>
      <top style="medium">
        <color rgb="FFBF9000"/>
      </top>
      <bottom style="medium">
        <color rgb="FFBF9000"/>
      </bottom>
    </border>
    <border>
      <left style="medium">
        <color rgb="FFBF9000"/>
      </left>
      <top style="medium">
        <color rgb="FFBF9000"/>
      </top>
      <bottom style="thin">
        <color rgb="FFFFE599"/>
      </bottom>
    </border>
    <border>
      <top style="medium">
        <color rgb="FFBF9000"/>
      </top>
      <bottom style="thin">
        <color rgb="FFFFE599"/>
      </bottom>
    </border>
    <border>
      <right style="medium">
        <color rgb="FFBF9000"/>
      </right>
      <top style="medium">
        <color rgb="FFBF9000"/>
      </top>
      <bottom style="thin">
        <color rgb="FFFFE599"/>
      </bottom>
    </border>
    <border>
      <left style="medium">
        <color rgb="FFBF9000"/>
      </left>
      <top style="thin">
        <color rgb="FFFFE599"/>
      </top>
      <bottom style="thin">
        <color rgb="FFFFE599"/>
      </bottom>
    </border>
    <border>
      <top style="thin">
        <color rgb="FFFFE599"/>
      </top>
      <bottom style="thin">
        <color rgb="FFFFE599"/>
      </bottom>
    </border>
    <border>
      <right style="medium">
        <color rgb="FFBF9000"/>
      </right>
      <top style="thin">
        <color rgb="FFFFE599"/>
      </top>
      <bottom style="thin">
        <color rgb="FFFFE599"/>
      </bottom>
    </border>
    <border>
      <left style="medium">
        <color rgb="FFBF9000"/>
      </left>
      <top style="thin">
        <color rgb="FFFFE599"/>
      </top>
      <bottom style="medium">
        <color rgb="FFBF9000"/>
      </bottom>
    </border>
    <border>
      <top style="thin">
        <color rgb="FFFFE599"/>
      </top>
      <bottom style="medium">
        <color rgb="FFBF9000"/>
      </bottom>
    </border>
    <border>
      <right style="medium">
        <color rgb="FFBF9000"/>
      </right>
      <top style="thin">
        <color rgb="FFFFE599"/>
      </top>
      <bottom style="medium">
        <color rgb="FFBF9000"/>
      </bottom>
    </border>
    <border>
      <left style="medium">
        <color rgb="FF940B30"/>
      </left>
      <top style="medium">
        <color rgb="FF940B30"/>
      </top>
      <bottom style="medium">
        <color rgb="FF940B30"/>
      </bottom>
    </border>
    <border>
      <top style="medium">
        <color rgb="FF940B30"/>
      </top>
      <bottom style="medium">
        <color rgb="FF940B30"/>
      </bottom>
    </border>
    <border>
      <right style="medium">
        <color rgb="FF940B30"/>
      </right>
      <top style="medium">
        <color rgb="FF940B30"/>
      </top>
      <bottom style="medium">
        <color rgb="FF940B30"/>
      </bottom>
    </border>
    <border>
      <left style="medium">
        <color rgb="FF940B30"/>
      </left>
      <top style="medium">
        <color rgb="FF940B30"/>
      </top>
      <bottom style="thin">
        <color rgb="FFEA9999"/>
      </bottom>
    </border>
    <border>
      <top style="medium">
        <color rgb="FF940B30"/>
      </top>
      <bottom style="thin">
        <color rgb="FFEA9999"/>
      </bottom>
    </border>
    <border>
      <right style="medium">
        <color rgb="FF940B30"/>
      </right>
      <top style="medium">
        <color rgb="FF940B30"/>
      </top>
      <bottom style="thin">
        <color rgb="FFEA9999"/>
      </bottom>
    </border>
    <border>
      <left style="medium">
        <color rgb="FF940B30"/>
      </left>
      <top style="thin">
        <color rgb="FFEA9999"/>
      </top>
      <bottom style="thin">
        <color rgb="FFEA9999"/>
      </bottom>
    </border>
    <border>
      <top style="thin">
        <color rgb="FFEA9999"/>
      </top>
      <bottom style="thin">
        <color rgb="FFEA9999"/>
      </bottom>
    </border>
    <border>
      <right style="medium">
        <color rgb="FF940B30"/>
      </right>
      <top style="thin">
        <color rgb="FFEA9999"/>
      </top>
      <bottom style="thin">
        <color rgb="FFEA9999"/>
      </bottom>
    </border>
    <border>
      <left style="medium">
        <color rgb="FF940B30"/>
      </left>
      <top style="thin">
        <color rgb="FFEA9999"/>
      </top>
      <bottom style="medium">
        <color rgb="FF940B30"/>
      </bottom>
    </border>
    <border>
      <top style="thin">
        <color rgb="FFEA9999"/>
      </top>
      <bottom style="medium">
        <color rgb="FF940B30"/>
      </bottom>
    </border>
    <border>
      <right style="medium">
        <color rgb="FF940B30"/>
      </right>
      <top style="thin">
        <color rgb="FFEA9999"/>
      </top>
      <bottom style="medium">
        <color rgb="FF940B30"/>
      </bottom>
    </border>
    <border>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B5394"/>
      </left>
      <right style="medium">
        <color rgb="FF0B5394"/>
      </right>
      <top style="medium">
        <color rgb="FF0B5394"/>
      </top>
      <bottom style="medium">
        <color rgb="FF0B5394"/>
      </bottom>
    </border>
    <border>
      <left style="medium">
        <color rgb="FF0B5394"/>
      </left>
      <right style="thin">
        <color rgb="FFEFEFEF"/>
      </right>
    </border>
    <border>
      <left style="thin">
        <color rgb="FFEFEFEF"/>
      </left>
      <right style="thin">
        <color rgb="FFEFEFEF"/>
      </right>
      <bottom style="medium">
        <color rgb="FF999999"/>
      </bottom>
    </border>
    <border>
      <left style="thin">
        <color rgb="FFEFEFEF"/>
      </left>
      <right style="medium">
        <color rgb="FF0B5394"/>
      </right>
      <bottom style="medium">
        <color rgb="FF999999"/>
      </bottom>
    </border>
    <border>
      <left style="medium">
        <color rgb="FF0B5394"/>
      </left>
      <right style="medium">
        <color rgb="FF999999"/>
      </right>
    </border>
    <border>
      <right style="medium">
        <color rgb="FF0B5394"/>
      </right>
    </border>
    <border>
      <left style="medium">
        <color rgb="FF0B5394"/>
      </left>
      <right style="medium">
        <color rgb="FF999999"/>
      </right>
      <bottom style="medium">
        <color rgb="FF999999"/>
      </bottom>
    </border>
    <border>
      <left style="thin">
        <color rgb="FFEFEFEF"/>
      </left>
      <right style="thin">
        <color rgb="FFEFEFEF"/>
      </right>
      <top style="medium">
        <color rgb="FF999999"/>
      </top>
      <bottom style="medium">
        <color rgb="FF999999"/>
      </bottom>
    </border>
    <border>
      <left style="thin">
        <color rgb="FFEFEFEF"/>
      </left>
      <right style="medium">
        <color rgb="FF0B5394"/>
      </right>
      <top style="medium">
        <color rgb="FF999999"/>
      </top>
      <bottom style="medium">
        <color rgb="FF999999"/>
      </bottom>
    </border>
    <border>
      <left style="medium">
        <color rgb="FF0B5394"/>
      </left>
      <right style="thin">
        <color rgb="FFEFEFEF"/>
      </right>
      <top style="medium">
        <color rgb="FF999999"/>
      </top>
    </border>
    <border>
      <left style="medium">
        <color rgb="FF0B5394"/>
      </left>
      <right style="medium">
        <color rgb="FF999999"/>
      </right>
      <top style="medium">
        <color rgb="FF999999"/>
      </top>
    </border>
    <border>
      <left style="medium">
        <color rgb="FF0B5394"/>
      </left>
      <right style="medium">
        <color rgb="FF999999"/>
      </right>
      <bottom style="medium">
        <color rgb="FF0B5394"/>
      </bottom>
    </border>
    <border>
      <bottom style="medium">
        <color rgb="FF0B5394"/>
      </bottom>
    </border>
    <border>
      <right style="medium">
        <color rgb="FF0B5394"/>
      </right>
      <bottom style="medium">
        <color rgb="FF0B5394"/>
      </bottom>
    </border>
    <border>
      <left style="medium">
        <color rgb="FF0B5394"/>
      </left>
      <bottom style="medium">
        <color rgb="FF0B5394"/>
      </bottom>
    </border>
    <border>
      <left style="medium">
        <color rgb="FF0B5394"/>
      </left>
    </border>
    <border>
      <right style="medium">
        <color rgb="FF073763"/>
      </right>
    </border>
    <border>
      <left style="medium">
        <color rgb="FF0B5394"/>
      </left>
      <right style="medium">
        <color rgb="FF0B5394"/>
      </right>
    </border>
    <border>
      <left style="medium">
        <color rgb="FF0B5394"/>
      </left>
      <right style="medium">
        <color rgb="FF0B5394"/>
      </right>
      <bottom style="medium">
        <color rgb="FF0B5394"/>
      </bottom>
    </border>
    <border>
      <left style="medium">
        <color rgb="FFBF9000"/>
      </left>
      <right style="medium">
        <color rgb="FFBF9000"/>
      </right>
      <top style="medium">
        <color rgb="FFBF9000"/>
      </top>
      <bottom style="medium">
        <color rgb="FFBF9000"/>
      </bottom>
    </border>
    <border>
      <left style="medium">
        <color rgb="FFBF9000"/>
      </left>
    </border>
    <border>
      <right style="medium">
        <color rgb="FFBF9000"/>
      </right>
    </border>
    <border>
      <left style="medium">
        <color rgb="FFBF9000"/>
      </left>
      <bottom style="medium">
        <color rgb="FFBF9000"/>
      </bottom>
    </border>
    <border>
      <right style="medium">
        <color rgb="FFBF9000"/>
      </right>
      <bottom style="medium">
        <color rgb="FFBF9000"/>
      </bottom>
    </border>
    <border>
      <bottom style="medium">
        <color rgb="FFBF9000"/>
      </bottom>
    </border>
    <border>
      <left style="medium">
        <color rgb="FFBF9000"/>
      </left>
      <right style="medium">
        <color rgb="FFBF9000"/>
      </right>
    </border>
    <border>
      <left style="medium">
        <color rgb="FFBF9000"/>
      </left>
      <right style="medium">
        <color rgb="FFBF9000"/>
      </right>
      <bottom style="medium">
        <color rgb="FFBF9000"/>
      </bottom>
    </border>
    <border>
      <left style="medium">
        <color rgb="FFBF9000"/>
      </left>
      <right style="thin">
        <color rgb="FFEFEFEF"/>
      </right>
    </border>
    <border>
      <left style="thin">
        <color rgb="FFEFEFEF"/>
      </left>
      <right style="medium">
        <color rgb="FFBF9000"/>
      </right>
      <bottom style="medium">
        <color rgb="FF999999"/>
      </bottom>
    </border>
    <border>
      <left style="medium">
        <color rgb="FFBF9000"/>
      </left>
      <right style="medium">
        <color rgb="FF999999"/>
      </right>
    </border>
    <border>
      <left style="medium">
        <color rgb="FFBF9000"/>
      </left>
      <right style="medium">
        <color rgb="FF999999"/>
      </right>
      <bottom style="medium">
        <color rgb="FF999999"/>
      </bottom>
    </border>
    <border>
      <left style="thin">
        <color rgb="FFEFEFEF"/>
      </left>
      <right style="medium">
        <color rgb="FFBF9000"/>
      </right>
      <top style="medium">
        <color rgb="FF999999"/>
      </top>
      <bottom style="medium">
        <color rgb="FF999999"/>
      </bottom>
    </border>
    <border>
      <left style="medium">
        <color rgb="FFBF9000"/>
      </left>
      <right style="thin">
        <color rgb="FFEFEFEF"/>
      </right>
      <top style="medium">
        <color rgb="FF999999"/>
      </top>
    </border>
    <border>
      <left style="medium">
        <color rgb="FFBF9000"/>
      </left>
      <right style="medium">
        <color rgb="FF999999"/>
      </right>
      <top style="medium">
        <color rgb="FF999999"/>
      </top>
    </border>
    <border>
      <left style="medium">
        <color rgb="FFBF9000"/>
      </left>
      <right style="medium">
        <color rgb="FF999999"/>
      </right>
      <bottom style="medium">
        <color rgb="FFBF9000"/>
      </bottom>
    </border>
    <border>
      <left style="medium">
        <color rgb="FF940B30"/>
      </left>
      <top style="medium">
        <color rgb="FF940B30"/>
      </top>
    </border>
    <border>
      <top style="medium">
        <color rgb="FF940B30"/>
      </top>
    </border>
    <border>
      <right style="medium">
        <color rgb="FF940B30"/>
      </right>
      <top style="medium">
        <color rgb="FF940B30"/>
      </top>
    </border>
    <border>
      <left style="medium">
        <color rgb="FF940B30"/>
      </left>
    </border>
    <border>
      <right style="medium">
        <color rgb="FF940B30"/>
      </right>
    </border>
    <border>
      <left style="medium">
        <color rgb="FF940B30"/>
      </left>
      <bottom style="medium">
        <color rgb="FF940B30"/>
      </bottom>
    </border>
    <border>
      <bottom style="medium">
        <color rgb="FF940B30"/>
      </bottom>
    </border>
    <border>
      <right style="medium">
        <color rgb="FF940B30"/>
      </right>
      <bottom style="medium">
        <color rgb="FF940B30"/>
      </bottom>
    </border>
    <border>
      <left style="medium">
        <color rgb="FF940B30"/>
      </left>
      <right style="medium">
        <color rgb="FF940B30"/>
      </right>
      <top style="medium">
        <color rgb="FF940B30"/>
      </top>
      <bottom style="medium">
        <color rgb="FF940B30"/>
      </bottom>
    </border>
  </borders>
  <cellStyleXfs count="1">
    <xf borderId="0" fillId="0" fontId="0" numFmtId="0" applyAlignment="1" applyFont="1"/>
  </cellStyleXfs>
  <cellXfs count="522">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4" fillId="0" fontId="1" numFmtId="0" xfId="0" applyAlignment="1" applyBorder="1" applyFont="1">
      <alignment vertical="bottom"/>
    </xf>
    <xf borderId="5" fillId="0" fontId="1" numFmtId="0" xfId="0" applyBorder="1" applyFont="1"/>
    <xf borderId="6" fillId="2" fontId="2" numFmtId="0" xfId="0" applyAlignment="1" applyBorder="1" applyFill="1" applyFont="1">
      <alignment shrinkToFit="0" vertical="center" wrapText="1"/>
    </xf>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5" fillId="0" fontId="1" numFmtId="0" xfId="0" applyAlignment="1" applyBorder="1" applyFont="1">
      <alignment vertical="bottom"/>
    </xf>
    <xf borderId="6" fillId="0" fontId="1" numFmtId="0" xfId="0" applyAlignment="1" applyBorder="1" applyFont="1">
      <alignment vertical="bottom"/>
    </xf>
    <xf borderId="12" fillId="0" fontId="1" numFmtId="0" xfId="0" applyAlignment="1" applyBorder="1" applyFont="1">
      <alignment vertical="bottom"/>
    </xf>
    <xf borderId="13" fillId="0" fontId="1" numFmtId="0" xfId="0" applyAlignment="1" applyBorder="1" applyFont="1">
      <alignment vertical="bottom"/>
    </xf>
    <xf borderId="11" fillId="0" fontId="1" numFmtId="0" xfId="0" applyAlignment="1" applyBorder="1" applyFont="1">
      <alignment vertical="bottom"/>
    </xf>
    <xf borderId="14" fillId="0" fontId="1" numFmtId="0" xfId="0" applyAlignment="1" applyBorder="1" applyFont="1">
      <alignment vertical="bottom"/>
    </xf>
    <xf borderId="15" fillId="0" fontId="3" numFmtId="0" xfId="0" applyBorder="1" applyFont="1"/>
    <xf borderId="5" fillId="0" fontId="4" numFmtId="0" xfId="0" applyAlignment="1" applyBorder="1" applyFont="1">
      <alignment horizontal="center"/>
    </xf>
    <xf borderId="5" fillId="0" fontId="3" numFmtId="0" xfId="0" applyBorder="1" applyFont="1"/>
    <xf borderId="9" fillId="0" fontId="3" numFmtId="0" xfId="0" applyBorder="1" applyFont="1"/>
    <xf borderId="1" fillId="0" fontId="5" numFmtId="0" xfId="0" applyBorder="1" applyFont="1"/>
    <xf borderId="9" fillId="0" fontId="1" numFmtId="0" xfId="0" applyAlignment="1" applyBorder="1" applyFont="1">
      <alignment vertical="bottom"/>
    </xf>
    <xf borderId="10" fillId="0" fontId="1" numFmtId="0" xfId="0" applyAlignment="1" applyBorder="1" applyFont="1">
      <alignment vertical="bottom"/>
    </xf>
    <xf borderId="16" fillId="0" fontId="6" numFmtId="0" xfId="0" applyAlignment="1" applyBorder="1" applyFont="1">
      <alignment vertical="bottom"/>
    </xf>
    <xf borderId="17" fillId="0" fontId="3" numFmtId="0" xfId="0" applyBorder="1" applyFont="1"/>
    <xf borderId="18" fillId="0" fontId="3" numFmtId="0" xfId="0" applyBorder="1" applyFont="1"/>
    <xf borderId="19" fillId="2" fontId="2" numFmtId="0" xfId="0" applyAlignment="1" applyBorder="1" applyFont="1">
      <alignment horizontal="center" shrinkToFit="0" vertical="center" wrapText="1"/>
    </xf>
    <xf borderId="20" fillId="2" fontId="2" numFmtId="0" xfId="0" applyAlignment="1" applyBorder="1" applyFont="1">
      <alignment horizontal="center" shrinkToFit="0" vertical="center" wrapText="1"/>
    </xf>
    <xf borderId="21" fillId="2" fontId="2" numFmtId="0" xfId="0" applyAlignment="1" applyBorder="1" applyFont="1">
      <alignment horizontal="center" shrinkToFit="0" vertical="center" wrapText="1"/>
    </xf>
    <xf borderId="14" fillId="0" fontId="1" numFmtId="0" xfId="0" applyAlignment="1" applyBorder="1" applyFont="1">
      <alignment horizontal="center" vertical="center"/>
    </xf>
    <xf borderId="0" fillId="0" fontId="7" numFmtId="0" xfId="0" applyAlignment="1" applyFont="1">
      <alignment shrinkToFit="0" vertical="center" wrapText="1"/>
    </xf>
    <xf borderId="0" fillId="0" fontId="8" numFmtId="164" xfId="0" applyAlignment="1" applyFont="1" applyNumberFormat="1">
      <alignment shrinkToFit="0" vertical="center" wrapText="1"/>
    </xf>
    <xf borderId="0" fillId="0" fontId="8" numFmtId="0" xfId="0" applyAlignment="1" applyFont="1">
      <alignment shrinkToFit="0" vertical="center" wrapText="1"/>
    </xf>
    <xf borderId="15" fillId="0" fontId="8" numFmtId="0" xfId="0" applyAlignment="1" applyBorder="1" applyFont="1">
      <alignment shrinkToFit="0" vertical="center" wrapText="1"/>
    </xf>
    <xf borderId="0" fillId="0" fontId="9" numFmtId="0" xfId="0" applyAlignment="1" applyFont="1">
      <alignment shrinkToFit="0" vertical="center" wrapText="1"/>
    </xf>
    <xf borderId="16" fillId="0" fontId="1" numFmtId="0" xfId="0" applyAlignment="1" applyBorder="1" applyFont="1">
      <alignment horizontal="center" vertical="center"/>
    </xf>
    <xf borderId="17" fillId="0" fontId="9" numFmtId="0" xfId="0" applyAlignment="1" applyBorder="1" applyFont="1">
      <alignment shrinkToFit="0" vertical="center" wrapText="1"/>
    </xf>
    <xf borderId="17" fillId="0" fontId="8" numFmtId="164" xfId="0" applyAlignment="1" applyBorder="1" applyFont="1" applyNumberFormat="1">
      <alignment shrinkToFit="0" vertical="center" wrapText="1"/>
    </xf>
    <xf borderId="17" fillId="0" fontId="8" numFmtId="0" xfId="0" applyAlignment="1" applyBorder="1" applyFont="1">
      <alignment shrinkToFit="0" vertical="center" wrapText="1"/>
    </xf>
    <xf borderId="18" fillId="0" fontId="8" numFmtId="0" xfId="0" applyAlignment="1" applyBorder="1" applyFont="1">
      <alignment shrinkToFit="0" vertical="center" wrapText="1"/>
    </xf>
    <xf borderId="19" fillId="0" fontId="4" numFmtId="0" xfId="0" applyAlignment="1" applyBorder="1" applyFont="1">
      <alignment horizontal="right" vertical="bottom"/>
    </xf>
    <xf borderId="21" fillId="0" fontId="4" numFmtId="164" xfId="0" applyAlignment="1" applyBorder="1" applyFont="1" applyNumberFormat="1">
      <alignment horizontal="right" vertical="bottom"/>
    </xf>
    <xf borderId="6" fillId="2" fontId="4" numFmtId="0" xfId="0" applyAlignment="1" applyBorder="1" applyFont="1">
      <alignment vertical="bottom"/>
    </xf>
    <xf borderId="8" fillId="2" fontId="1" numFmtId="164" xfId="0" applyAlignment="1" applyBorder="1" applyFont="1" applyNumberFormat="1">
      <alignment horizontal="right" vertical="bottom"/>
    </xf>
    <xf borderId="16" fillId="2" fontId="4" numFmtId="0" xfId="0" applyAlignment="1" applyBorder="1" applyFont="1">
      <alignment vertical="bottom"/>
    </xf>
    <xf borderId="18" fillId="2" fontId="1" numFmtId="164" xfId="0" applyAlignment="1" applyBorder="1" applyFont="1" applyNumberFormat="1">
      <alignment horizontal="right" readingOrder="0" vertical="bottom"/>
    </xf>
    <xf borderId="19" fillId="2" fontId="10" numFmtId="0" xfId="0" applyAlignment="1" applyBorder="1" applyFont="1">
      <alignment horizontal="center" readingOrder="0" vertical="bottom"/>
    </xf>
    <xf borderId="21" fillId="0" fontId="3" numFmtId="0" xfId="0" applyBorder="1" applyFont="1"/>
    <xf borderId="22" fillId="3" fontId="8" numFmtId="0" xfId="0" applyAlignment="1" applyBorder="1" applyFill="1" applyFont="1">
      <alignment horizontal="center" readingOrder="0" vertical="center"/>
    </xf>
    <xf borderId="23" fillId="4" fontId="8" numFmtId="0" xfId="0" applyAlignment="1" applyBorder="1" applyFill="1" applyFont="1">
      <alignment horizontal="center" readingOrder="0" vertical="center"/>
    </xf>
    <xf borderId="24" fillId="5" fontId="8" numFmtId="0" xfId="0" applyAlignment="1" applyBorder="1" applyFill="1" applyFont="1">
      <alignment horizontal="center" readingOrder="0" vertical="center"/>
    </xf>
    <xf borderId="25" fillId="6" fontId="8" numFmtId="0" xfId="0" applyAlignment="1" applyBorder="1" applyFill="1" applyFont="1">
      <alignment horizontal="center" readingOrder="0" vertical="center"/>
    </xf>
    <xf borderId="26" fillId="7" fontId="8" numFmtId="0" xfId="0" applyAlignment="1" applyBorder="1" applyFill="1" applyFont="1">
      <alignment horizontal="center" readingOrder="0" vertical="center"/>
    </xf>
    <xf borderId="27" fillId="8" fontId="8" numFmtId="0" xfId="0" applyAlignment="1" applyBorder="1" applyFill="1" applyFont="1">
      <alignment horizontal="center" readingOrder="0" vertical="center"/>
    </xf>
    <xf borderId="20" fillId="2" fontId="2" numFmtId="0" xfId="0" applyAlignment="1" applyBorder="1" applyFont="1">
      <alignment horizontal="center" readingOrder="0" shrinkToFit="0" vertical="center" wrapText="1"/>
    </xf>
    <xf borderId="14" fillId="4" fontId="9" numFmtId="49" xfId="0" applyAlignment="1" applyBorder="1" applyFont="1" applyNumberFormat="1">
      <alignment vertical="bottom"/>
    </xf>
    <xf borderId="0" fillId="4" fontId="9" numFmtId="49" xfId="0" applyAlignment="1" applyFont="1" applyNumberFormat="1">
      <alignment horizontal="center" vertical="bottom"/>
    </xf>
    <xf borderId="0" fillId="4" fontId="9" numFmtId="165" xfId="0" applyAlignment="1" applyFont="1" applyNumberFormat="1">
      <alignment horizontal="center" vertical="bottom"/>
    </xf>
    <xf borderId="0" fillId="4" fontId="9" numFmtId="166" xfId="0" applyAlignment="1" applyFont="1" applyNumberFormat="1">
      <alignment horizontal="right" vertical="bottom"/>
    </xf>
    <xf borderId="0" fillId="4" fontId="9" numFmtId="0" xfId="0" applyAlignment="1" applyFont="1">
      <alignment horizontal="center" vertical="bottom"/>
    </xf>
    <xf borderId="0" fillId="4" fontId="9" numFmtId="0" xfId="0" applyAlignment="1" applyFont="1">
      <alignment horizontal="center" readingOrder="0" vertical="bottom"/>
    </xf>
    <xf borderId="0" fillId="4" fontId="8" numFmtId="0" xfId="0" applyAlignment="1" applyFont="1">
      <alignment readingOrder="0" vertical="bottom"/>
    </xf>
    <xf borderId="15" fillId="4" fontId="8" numFmtId="0" xfId="0" applyAlignment="1" applyBorder="1" applyFont="1">
      <alignment vertical="bottom"/>
    </xf>
    <xf borderId="14" fillId="0" fontId="8" numFmtId="49" xfId="0" applyAlignment="1" applyBorder="1" applyFont="1" applyNumberFormat="1">
      <alignment vertical="bottom"/>
    </xf>
    <xf borderId="0" fillId="0" fontId="8" numFmtId="49" xfId="0" applyAlignment="1" applyFont="1" applyNumberFormat="1">
      <alignment horizontal="center" vertical="bottom"/>
    </xf>
    <xf borderId="0" fillId="0" fontId="8" numFmtId="165" xfId="0" applyAlignment="1" applyFont="1" applyNumberFormat="1">
      <alignment horizontal="center" vertical="bottom"/>
    </xf>
    <xf borderId="0" fillId="0" fontId="8" numFmtId="166" xfId="0" applyAlignment="1" applyFont="1" applyNumberFormat="1">
      <alignment vertical="bottom"/>
    </xf>
    <xf borderId="0" fillId="0" fontId="9" numFmtId="166" xfId="0" applyAlignment="1" applyFont="1" applyNumberFormat="1">
      <alignment horizontal="right" vertical="bottom"/>
    </xf>
    <xf borderId="0" fillId="0" fontId="8" numFmtId="0" xfId="0" applyAlignment="1" applyFont="1">
      <alignment horizontal="center" vertical="bottom"/>
    </xf>
    <xf borderId="0" fillId="0" fontId="9" numFmtId="165" xfId="0" applyAlignment="1" applyFont="1" applyNumberFormat="1">
      <alignment horizontal="center" vertical="bottom"/>
    </xf>
    <xf borderId="0" fillId="0" fontId="9" numFmtId="0" xfId="0" applyAlignment="1" applyFont="1">
      <alignment horizontal="center" vertical="bottom"/>
    </xf>
    <xf borderId="0" fillId="0" fontId="8" numFmtId="0" xfId="0" applyAlignment="1" applyFont="1">
      <alignment vertical="bottom"/>
    </xf>
    <xf borderId="15" fillId="0" fontId="8" numFmtId="0" xfId="0" applyAlignment="1" applyBorder="1" applyFont="1">
      <alignment vertical="bottom"/>
    </xf>
    <xf borderId="0" fillId="0" fontId="8" numFmtId="167" xfId="0" applyAlignment="1" applyFont="1" applyNumberFormat="1">
      <alignment horizontal="center" vertical="bottom"/>
    </xf>
    <xf borderId="0" fillId="0" fontId="9" numFmtId="167" xfId="0" applyAlignment="1" applyFont="1" applyNumberFormat="1">
      <alignment horizontal="center" vertical="bottom"/>
    </xf>
    <xf borderId="16" fillId="0" fontId="8" numFmtId="49" xfId="0" applyAlignment="1" applyBorder="1" applyFont="1" applyNumberFormat="1">
      <alignment vertical="bottom"/>
    </xf>
    <xf borderId="17" fillId="0" fontId="8" numFmtId="0" xfId="0" applyAlignment="1" applyBorder="1" applyFont="1">
      <alignment horizontal="center" vertical="bottom"/>
    </xf>
    <xf borderId="17" fillId="0" fontId="8" numFmtId="166" xfId="0" applyAlignment="1" applyBorder="1" applyFont="1" applyNumberFormat="1">
      <alignment vertical="bottom"/>
    </xf>
    <xf borderId="17" fillId="0" fontId="8" numFmtId="166" xfId="0" applyAlignment="1" applyBorder="1" applyFont="1" applyNumberFormat="1">
      <alignment horizontal="right" vertical="bottom"/>
    </xf>
    <xf borderId="17" fillId="0" fontId="9" numFmtId="0" xfId="0" applyAlignment="1" applyBorder="1" applyFont="1">
      <alignment horizontal="center" vertical="bottom"/>
    </xf>
    <xf borderId="17" fillId="0" fontId="8" numFmtId="0" xfId="0" applyAlignment="1" applyBorder="1" applyFont="1">
      <alignment vertical="bottom"/>
    </xf>
    <xf borderId="18" fillId="0" fontId="8" numFmtId="0" xfId="0" applyAlignment="1" applyBorder="1" applyFont="1">
      <alignment vertical="bottom"/>
    </xf>
    <xf borderId="3" fillId="9" fontId="1" numFmtId="0" xfId="0" applyAlignment="1" applyBorder="1" applyFill="1" applyFont="1">
      <alignment vertical="bottom"/>
    </xf>
    <xf borderId="19" fillId="10" fontId="8" numFmtId="166" xfId="0" applyAlignment="1" applyBorder="1" applyFill="1" applyFont="1" applyNumberFormat="1">
      <alignment horizontal="right" vertical="bottom"/>
    </xf>
    <xf borderId="21" fillId="10" fontId="8" numFmtId="166" xfId="0" applyAlignment="1" applyBorder="1" applyFont="1" applyNumberFormat="1">
      <alignment horizontal="right" vertical="bottom"/>
    </xf>
    <xf borderId="13" fillId="9" fontId="1" numFmtId="0" xfId="0" applyAlignment="1" applyBorder="1" applyFont="1">
      <alignment vertical="bottom"/>
    </xf>
    <xf borderId="28" fillId="0" fontId="1" numFmtId="0" xfId="0" applyAlignment="1" applyBorder="1" applyFont="1">
      <alignment vertical="bottom"/>
    </xf>
    <xf borderId="6" fillId="0" fontId="1" numFmtId="166" xfId="0" applyAlignment="1" applyBorder="1" applyFont="1" applyNumberFormat="1">
      <alignment shrinkToFit="0" vertical="bottom" wrapText="1"/>
    </xf>
    <xf borderId="8" fillId="0" fontId="1" numFmtId="164" xfId="0" applyAlignment="1" applyBorder="1" applyFont="1" applyNumberFormat="1">
      <alignment horizontal="right" readingOrder="0" vertical="bottom"/>
    </xf>
    <xf borderId="6" fillId="0" fontId="1" numFmtId="0" xfId="0" applyAlignment="1" applyBorder="1" applyFont="1">
      <alignment readingOrder="0" vertical="bottom"/>
    </xf>
    <xf borderId="8" fillId="0" fontId="1" numFmtId="164" xfId="0" applyAlignment="1" applyBorder="1" applyFont="1" applyNumberFormat="1">
      <alignment horizontal="right" readingOrder="0" vertical="bottom"/>
    </xf>
    <xf borderId="29" fillId="0" fontId="5" numFmtId="0" xfId="0" applyBorder="1" applyFont="1"/>
    <xf borderId="6" fillId="0" fontId="1" numFmtId="0" xfId="0" applyAlignment="1" applyBorder="1" applyFont="1">
      <alignment horizontal="left" readingOrder="0" vertical="bottom"/>
    </xf>
    <xf borderId="8" fillId="0" fontId="1" numFmtId="166" xfId="0" applyAlignment="1" applyBorder="1" applyFont="1" applyNumberFormat="1">
      <alignment vertical="bottom"/>
    </xf>
    <xf borderId="14" fillId="0" fontId="1" numFmtId="166" xfId="0" applyAlignment="1" applyBorder="1" applyFont="1" applyNumberFormat="1">
      <alignment shrinkToFit="0" vertical="bottom" wrapText="1"/>
    </xf>
    <xf borderId="15" fillId="0" fontId="1" numFmtId="164" xfId="0" applyAlignment="1" applyBorder="1" applyFont="1" applyNumberFormat="1">
      <alignment horizontal="right" readingOrder="0" vertical="bottom"/>
    </xf>
    <xf borderId="14" fillId="0" fontId="1" numFmtId="0" xfId="0" applyAlignment="1" applyBorder="1" applyFont="1">
      <alignment readingOrder="0" vertical="bottom"/>
    </xf>
    <xf borderId="15" fillId="0" fontId="1" numFmtId="164" xfId="0" applyAlignment="1" applyBorder="1" applyFont="1" applyNumberFormat="1">
      <alignment horizontal="right" readingOrder="0" vertical="bottom"/>
    </xf>
    <xf borderId="14" fillId="0" fontId="1" numFmtId="0" xfId="0" applyAlignment="1" applyBorder="1" applyFont="1">
      <alignment horizontal="left" readingOrder="0" vertical="bottom"/>
    </xf>
    <xf borderId="15" fillId="0" fontId="1" numFmtId="166" xfId="0" applyAlignment="1" applyBorder="1" applyFont="1" applyNumberFormat="1">
      <alignment vertical="bottom"/>
    </xf>
    <xf borderId="15" fillId="0" fontId="1" numFmtId="164" xfId="0" applyAlignment="1" applyBorder="1" applyFont="1" applyNumberFormat="1">
      <alignment horizontal="right" vertical="bottom"/>
    </xf>
    <xf borderId="14" fillId="0" fontId="5" numFmtId="0" xfId="0" applyBorder="1" applyFont="1"/>
    <xf borderId="15" fillId="0" fontId="5" numFmtId="0" xfId="0" applyBorder="1" applyFont="1"/>
    <xf borderId="15" fillId="0" fontId="1" numFmtId="0" xfId="0" applyAlignment="1" applyBorder="1" applyFont="1">
      <alignment vertical="bottom"/>
    </xf>
    <xf borderId="16" fillId="4" fontId="4" numFmtId="166" xfId="0" applyAlignment="1" applyBorder="1" applyFont="1" applyNumberFormat="1">
      <alignment shrinkToFit="0" vertical="bottom" wrapText="1"/>
    </xf>
    <xf borderId="18" fillId="4" fontId="4" numFmtId="164" xfId="0" applyAlignment="1" applyBorder="1" applyFont="1" applyNumberFormat="1">
      <alignment horizontal="right" shrinkToFit="0" vertical="bottom" wrapText="1"/>
    </xf>
    <xf borderId="16" fillId="4" fontId="4" numFmtId="0" xfId="0" applyAlignment="1" applyBorder="1" applyFont="1">
      <alignment readingOrder="0" vertical="bottom"/>
    </xf>
    <xf borderId="18" fillId="4" fontId="4" numFmtId="164" xfId="0" applyAlignment="1" applyBorder="1" applyFont="1" applyNumberFormat="1">
      <alignment horizontal="right" vertical="bottom"/>
    </xf>
    <xf borderId="16" fillId="4" fontId="4" numFmtId="0" xfId="0" applyAlignment="1" applyBorder="1" applyFont="1">
      <alignment horizontal="left" readingOrder="0" vertical="bottom"/>
    </xf>
    <xf borderId="18" fillId="4" fontId="4" numFmtId="166" xfId="0" applyAlignment="1" applyBorder="1" applyFont="1" applyNumberFormat="1">
      <alignment horizontal="right" vertical="bottom"/>
    </xf>
    <xf borderId="30" fillId="0" fontId="1" numFmtId="0" xfId="0" applyAlignment="1" applyBorder="1" applyFont="1">
      <alignment vertical="bottom"/>
    </xf>
    <xf borderId="31" fillId="0" fontId="1" numFmtId="0" xfId="0" applyAlignment="1" applyBorder="1" applyFont="1">
      <alignment vertical="bottom"/>
    </xf>
    <xf borderId="10" fillId="0" fontId="5" numFmtId="0" xfId="0" applyBorder="1" applyFont="1"/>
    <xf borderId="31" fillId="0" fontId="11" numFmtId="0" xfId="0" applyAlignment="1" applyBorder="1" applyFont="1">
      <alignment horizontal="center" readingOrder="0" vertical="center"/>
    </xf>
    <xf borderId="32" fillId="0" fontId="3" numFmtId="0" xfId="0" applyBorder="1" applyFont="1"/>
    <xf borderId="12" fillId="0" fontId="3" numFmtId="0" xfId="0" applyBorder="1" applyFont="1"/>
    <xf borderId="10" fillId="0" fontId="12" numFmtId="0" xfId="0" applyAlignment="1" applyBorder="1" applyFont="1">
      <alignment readingOrder="0" shrinkToFit="0" wrapText="1"/>
    </xf>
    <xf borderId="11" fillId="0" fontId="5" numFmtId="0" xfId="0" applyBorder="1" applyFont="1"/>
    <xf borderId="33" fillId="11" fontId="13" numFmtId="0" xfId="0" applyAlignment="1" applyBorder="1" applyFill="1" applyFont="1">
      <alignment horizontal="center" readingOrder="0"/>
    </xf>
    <xf borderId="34" fillId="0" fontId="3" numFmtId="0" xfId="0" applyBorder="1" applyFont="1"/>
    <xf borderId="35" fillId="0" fontId="3" numFmtId="0" xfId="0" applyBorder="1" applyFont="1"/>
    <xf borderId="9" fillId="0" fontId="5" numFmtId="0" xfId="0" applyBorder="1" applyFont="1"/>
    <xf borderId="11" fillId="0" fontId="5" numFmtId="0" xfId="0" applyBorder="1" applyFont="1"/>
    <xf borderId="36" fillId="9" fontId="5" numFmtId="0" xfId="0" applyBorder="1" applyFont="1"/>
    <xf borderId="37" fillId="0" fontId="3" numFmtId="0" xfId="0" applyBorder="1" applyFont="1"/>
    <xf borderId="12" fillId="0" fontId="12" numFmtId="0" xfId="0" applyAlignment="1" applyBorder="1" applyFont="1">
      <alignment readingOrder="0" shrinkToFit="0" wrapText="1"/>
    </xf>
    <xf borderId="38" fillId="6" fontId="14" numFmtId="0" xfId="0" applyAlignment="1" applyBorder="1" applyFont="1">
      <alignment readingOrder="0"/>
    </xf>
    <xf borderId="39" fillId="0" fontId="3" numFmtId="0" xfId="0" applyBorder="1" applyFont="1"/>
    <xf borderId="40" fillId="0" fontId="3" numFmtId="0" xfId="0" applyBorder="1" applyFont="1"/>
    <xf borderId="41" fillId="6" fontId="15" numFmtId="0" xfId="0" applyAlignment="1" applyBorder="1" applyFont="1">
      <alignment horizontal="left" readingOrder="0"/>
    </xf>
    <xf borderId="42" fillId="0" fontId="3" numFmtId="0" xfId="0" applyBorder="1" applyFont="1"/>
    <xf borderId="43" fillId="0" fontId="3" numFmtId="0" xfId="0" applyBorder="1" applyFont="1"/>
    <xf borderId="44" fillId="6" fontId="15" numFmtId="0" xfId="0" applyAlignment="1" applyBorder="1" applyFont="1">
      <alignment horizontal="left" readingOrder="0"/>
    </xf>
    <xf borderId="45" fillId="0" fontId="3" numFmtId="0" xfId="0" applyBorder="1" applyFont="1"/>
    <xf borderId="46" fillId="0" fontId="3" numFmtId="0" xfId="0" applyBorder="1" applyFont="1"/>
    <xf borderId="1" fillId="0" fontId="3" numFmtId="0" xfId="0" applyBorder="1" applyFont="1"/>
    <xf borderId="36" fillId="9" fontId="5" numFmtId="0" xfId="0" applyBorder="1" applyFont="1"/>
    <xf borderId="9" fillId="0" fontId="5" numFmtId="0" xfId="0" applyBorder="1" applyFont="1"/>
    <xf borderId="38" fillId="6" fontId="14" numFmtId="0" xfId="0" applyAlignment="1" applyBorder="1" applyFont="1">
      <alignment readingOrder="0" shrinkToFit="0" wrapText="1"/>
    </xf>
    <xf borderId="41" fillId="6" fontId="5" numFmtId="0" xfId="0" applyAlignment="1" applyBorder="1" applyFont="1">
      <alignment readingOrder="0" shrinkToFit="0" wrapText="1"/>
    </xf>
    <xf borderId="41" fillId="6" fontId="15" numFmtId="0" xfId="0" applyAlignment="1" applyBorder="1" applyFont="1">
      <alignment horizontal="left" readingOrder="0" shrinkToFit="0" wrapText="1"/>
    </xf>
    <xf borderId="44" fillId="6" fontId="5" numFmtId="0" xfId="0" applyAlignment="1" applyBorder="1" applyFont="1">
      <alignment readingOrder="0"/>
    </xf>
    <xf borderId="47" fillId="12" fontId="13" numFmtId="0" xfId="0" applyAlignment="1" applyBorder="1" applyFill="1" applyFont="1">
      <alignment horizontal="center" readingOrder="0"/>
    </xf>
    <xf borderId="48" fillId="0" fontId="3" numFmtId="0" xfId="0" applyBorder="1" applyFont="1"/>
    <xf borderId="49" fillId="0" fontId="3" numFmtId="0" xfId="0" applyBorder="1" applyFont="1"/>
    <xf borderId="50" fillId="13" fontId="16" numFmtId="0" xfId="0" applyAlignment="1" applyBorder="1" applyFill="1" applyFont="1">
      <alignment horizontal="center" readingOrder="0"/>
    </xf>
    <xf borderId="51" fillId="0" fontId="3" numFmtId="0" xfId="0" applyBorder="1" applyFont="1"/>
    <xf borderId="52" fillId="0" fontId="3" numFmtId="0" xfId="0" applyBorder="1" applyFont="1"/>
    <xf borderId="53" fillId="13" fontId="16" numFmtId="0" xfId="0" applyAlignment="1" applyBorder="1" applyFont="1">
      <alignment horizontal="center" readingOrder="0"/>
    </xf>
    <xf borderId="54" fillId="0" fontId="3" numFmtId="0" xfId="0" applyBorder="1" applyFont="1"/>
    <xf borderId="55" fillId="0" fontId="3" numFmtId="0" xfId="0" applyBorder="1" applyFont="1"/>
    <xf borderId="9" fillId="0" fontId="12" numFmtId="0" xfId="0" applyAlignment="1" applyBorder="1" applyFont="1">
      <alignment readingOrder="0" shrinkToFit="0" wrapText="1"/>
    </xf>
    <xf borderId="56" fillId="13" fontId="16" numFmtId="0" xfId="0" applyAlignment="1" applyBorder="1" applyFont="1">
      <alignment horizontal="center" readingOrder="0"/>
    </xf>
    <xf borderId="57" fillId="0" fontId="3" numFmtId="0" xfId="0" applyBorder="1" applyFont="1"/>
    <xf borderId="58" fillId="0" fontId="3" numFmtId="0" xfId="0" applyBorder="1" applyFont="1"/>
    <xf borderId="59" fillId="14" fontId="13" numFmtId="0" xfId="0" applyAlignment="1" applyBorder="1" applyFill="1" applyFont="1">
      <alignment horizontal="center" readingOrder="0"/>
    </xf>
    <xf borderId="60" fillId="0" fontId="3" numFmtId="0" xfId="0" applyBorder="1" applyFont="1"/>
    <xf borderId="61" fillId="0" fontId="3" numFmtId="0" xfId="0" applyBorder="1" applyFont="1"/>
    <xf borderId="62" fillId="15" fontId="16" numFmtId="0" xfId="0" applyAlignment="1" applyBorder="1" applyFill="1" applyFont="1">
      <alignment horizontal="center" readingOrder="0"/>
    </xf>
    <xf borderId="63" fillId="0" fontId="3" numFmtId="0" xfId="0" applyBorder="1" applyFont="1"/>
    <xf borderId="64" fillId="0" fontId="3" numFmtId="0" xfId="0" applyBorder="1" applyFont="1"/>
    <xf borderId="65" fillId="15" fontId="16" numFmtId="0" xfId="0" applyAlignment="1" applyBorder="1" applyFont="1">
      <alignment horizontal="center" readingOrder="0"/>
    </xf>
    <xf borderId="66" fillId="0" fontId="3" numFmtId="0" xfId="0" applyBorder="1" applyFont="1"/>
    <xf borderId="67" fillId="0" fontId="3" numFmtId="0" xfId="0" applyBorder="1" applyFont="1"/>
    <xf borderId="68" fillId="15" fontId="16" numFmtId="0" xfId="0" applyAlignment="1" applyBorder="1" applyFont="1">
      <alignment horizontal="center" readingOrder="0"/>
    </xf>
    <xf borderId="69" fillId="0" fontId="3" numFmtId="0" xfId="0" applyBorder="1" applyFont="1"/>
    <xf borderId="70" fillId="0" fontId="3" numFmtId="0" xfId="0" applyBorder="1" applyFont="1"/>
    <xf borderId="10" fillId="0" fontId="5" numFmtId="0" xfId="0" applyBorder="1" applyFont="1"/>
    <xf borderId="4" fillId="0" fontId="5" numFmtId="0" xfId="0" applyBorder="1" applyFont="1"/>
    <xf borderId="71" fillId="0" fontId="3" numFmtId="0" xfId="0" applyBorder="1" applyFont="1"/>
    <xf borderId="3" fillId="0" fontId="17" numFmtId="0" xfId="0" applyAlignment="1" applyBorder="1" applyFont="1">
      <alignment vertical="bottom"/>
    </xf>
    <xf borderId="10" fillId="0" fontId="17" numFmtId="0" xfId="0" applyBorder="1" applyFont="1"/>
    <xf borderId="37" fillId="0" fontId="18" numFmtId="0" xfId="0" applyAlignment="1" applyBorder="1" applyFont="1">
      <alignment shrinkToFit="0" vertical="bottom" wrapText="1"/>
    </xf>
    <xf borderId="10" fillId="0" fontId="17" numFmtId="0" xfId="0" applyBorder="1" applyFont="1"/>
    <xf borderId="11" fillId="0" fontId="18" numFmtId="0" xfId="0" applyAlignment="1" applyBorder="1" applyFont="1">
      <alignment shrinkToFit="0" vertical="bottom" wrapText="1"/>
    </xf>
    <xf borderId="72" fillId="11" fontId="19" numFmtId="0" xfId="0" applyAlignment="1" applyBorder="1" applyFont="1">
      <alignment horizontal="center" shrinkToFit="0" vertical="bottom" wrapText="1"/>
    </xf>
    <xf borderId="9" fillId="0" fontId="17" numFmtId="0" xfId="0" applyAlignment="1" applyBorder="1" applyFont="1">
      <alignment vertical="bottom"/>
    </xf>
    <xf borderId="11" fillId="0" fontId="17" numFmtId="0" xfId="0" applyBorder="1" applyFont="1"/>
    <xf borderId="73" fillId="16" fontId="17" numFmtId="166" xfId="0" applyAlignment="1" applyBorder="1" applyFill="1" applyFont="1" applyNumberFormat="1">
      <alignment horizontal="right" shrinkToFit="0" vertical="bottom" wrapText="1"/>
    </xf>
    <xf borderId="11" fillId="0" fontId="20" numFmtId="0" xfId="0" applyAlignment="1" applyBorder="1" applyFont="1">
      <alignment readingOrder="0" shrinkToFit="0" vertical="center" wrapText="1"/>
    </xf>
    <xf borderId="73" fillId="11" fontId="19" numFmtId="0" xfId="0" applyAlignment="1" applyBorder="1" applyFont="1">
      <alignment horizontal="center" shrinkToFit="0" vertical="bottom" wrapText="1"/>
    </xf>
    <xf borderId="31" fillId="0" fontId="20" numFmtId="0" xfId="0" applyAlignment="1" applyBorder="1" applyFont="1">
      <alignment readingOrder="0" shrinkToFit="0" vertical="top" wrapText="1"/>
    </xf>
    <xf borderId="73" fillId="16" fontId="17" numFmtId="166" xfId="0" applyAlignment="1" applyBorder="1" applyFont="1" applyNumberFormat="1">
      <alignment horizontal="right" vertical="bottom"/>
    </xf>
    <xf borderId="4" fillId="0" fontId="3" numFmtId="0" xfId="0" applyBorder="1" applyFont="1"/>
    <xf borderId="10" fillId="0" fontId="17" numFmtId="0" xfId="0" applyAlignment="1" applyBorder="1" applyFont="1">
      <alignment vertical="bottom"/>
    </xf>
    <xf borderId="11" fillId="0" fontId="21" numFmtId="0" xfId="0" applyAlignment="1" applyBorder="1" applyFont="1">
      <alignment readingOrder="0" shrinkToFit="0" vertical="top" wrapText="1"/>
    </xf>
    <xf borderId="73" fillId="17" fontId="22" numFmtId="166" xfId="0" applyAlignment="1" applyBorder="1" applyFill="1" applyFont="1" applyNumberFormat="1">
      <alignment shrinkToFit="0" vertical="bottom" wrapText="1"/>
    </xf>
    <xf borderId="10" fillId="0" fontId="21" numFmtId="0" xfId="0" applyAlignment="1" applyBorder="1" applyFont="1">
      <alignment readingOrder="0" shrinkToFit="0" vertical="top" wrapText="1"/>
    </xf>
    <xf borderId="73" fillId="0" fontId="18" numFmtId="0" xfId="0" applyAlignment="1" applyBorder="1" applyFont="1">
      <alignment shrinkToFit="0" vertical="bottom" wrapText="1"/>
    </xf>
    <xf borderId="13" fillId="0" fontId="20" numFmtId="0" xfId="0" applyAlignment="1" applyBorder="1" applyFont="1">
      <alignment readingOrder="0" shrinkToFit="0" vertical="top" wrapText="1"/>
    </xf>
    <xf borderId="2" fillId="0" fontId="20" numFmtId="0" xfId="0" applyAlignment="1" applyBorder="1" applyFont="1">
      <alignment readingOrder="0" shrinkToFit="0" vertical="center" wrapText="1"/>
    </xf>
    <xf borderId="74" fillId="11" fontId="19" numFmtId="0" xfId="0" applyAlignment="1" applyBorder="1" applyFont="1">
      <alignment shrinkToFit="0" vertical="center" wrapText="1"/>
    </xf>
    <xf borderId="74" fillId="11" fontId="19" numFmtId="0" xfId="0" applyAlignment="1" applyBorder="1" applyFont="1">
      <alignment readingOrder="0" shrinkToFit="0" vertical="center" wrapText="1"/>
    </xf>
    <xf borderId="11" fillId="0" fontId="17" numFmtId="0" xfId="0" applyBorder="1" applyFont="1"/>
    <xf borderId="75" fillId="2" fontId="18" numFmtId="0" xfId="0" applyAlignment="1" applyBorder="1" applyFont="1">
      <alignment readingOrder="0" shrinkToFit="0" vertical="center" wrapText="1"/>
    </xf>
    <xf borderId="76" fillId="2" fontId="23" numFmtId="166" xfId="0" applyAlignment="1" applyBorder="1" applyFont="1" applyNumberFormat="1">
      <alignment horizontal="right" readingOrder="0" shrinkToFit="0" vertical="center" wrapText="0"/>
    </xf>
    <xf borderId="77" fillId="2" fontId="17" numFmtId="166" xfId="0" applyAlignment="1" applyBorder="1" applyFont="1" applyNumberFormat="1">
      <alignment vertical="center"/>
    </xf>
    <xf borderId="78" fillId="2" fontId="17" numFmtId="0" xfId="0" applyAlignment="1" applyBorder="1" applyFont="1">
      <alignment shrinkToFit="0" vertical="center" wrapText="1"/>
    </xf>
    <xf borderId="0" fillId="0" fontId="17" numFmtId="166" xfId="0" applyAlignment="1" applyFont="1" applyNumberFormat="1">
      <alignment vertical="center"/>
    </xf>
    <xf borderId="79" fillId="0" fontId="17" numFmtId="166" xfId="0" applyAlignment="1" applyBorder="1" applyFont="1" applyNumberFormat="1">
      <alignment vertical="center"/>
    </xf>
    <xf borderId="0" fillId="0" fontId="17" numFmtId="166" xfId="0" applyAlignment="1" applyFont="1" applyNumberFormat="1">
      <alignment readingOrder="0" vertical="center"/>
    </xf>
    <xf borderId="79" fillId="0" fontId="17" numFmtId="166" xfId="0" applyAlignment="1" applyBorder="1" applyFont="1" applyNumberFormat="1">
      <alignment readingOrder="0" vertical="center"/>
    </xf>
    <xf borderId="80" fillId="2" fontId="17" numFmtId="0" xfId="0" applyAlignment="1" applyBorder="1" applyFont="1">
      <alignment shrinkToFit="0" vertical="center" wrapText="1"/>
    </xf>
    <xf borderId="81" fillId="2" fontId="23" numFmtId="166" xfId="0" applyAlignment="1" applyBorder="1" applyFont="1" applyNumberFormat="1">
      <alignment horizontal="right" readingOrder="0" shrinkToFit="0" vertical="center" wrapText="0"/>
    </xf>
    <xf borderId="82" fillId="2" fontId="17" numFmtId="166" xfId="0" applyAlignment="1" applyBorder="1" applyFont="1" applyNumberFormat="1">
      <alignment vertical="center"/>
    </xf>
    <xf borderId="83" fillId="2" fontId="18" numFmtId="0" xfId="0" applyAlignment="1" applyBorder="1" applyFont="1">
      <alignment readingOrder="0" shrinkToFit="0" vertical="center" wrapText="1"/>
    </xf>
    <xf borderId="84" fillId="2" fontId="17" numFmtId="0" xfId="0" applyAlignment="1" applyBorder="1" applyFont="1">
      <alignment shrinkToFit="0" vertical="center" wrapText="1"/>
    </xf>
    <xf borderId="78" fillId="2" fontId="17" numFmtId="0" xfId="0" applyAlignment="1" applyBorder="1" applyFont="1">
      <alignment readingOrder="0" shrinkToFit="0" vertical="center" wrapText="1"/>
    </xf>
    <xf borderId="78" fillId="2" fontId="24" numFmtId="0" xfId="0" applyAlignment="1" applyBorder="1" applyFont="1">
      <alignment readingOrder="0" shrinkToFit="0" vertical="center" wrapText="1"/>
    </xf>
    <xf borderId="78" fillId="2" fontId="24" numFmtId="0" xfId="0" applyAlignment="1" applyBorder="1" applyFont="1">
      <alignment shrinkToFit="0" vertical="center" wrapText="1"/>
    </xf>
    <xf borderId="85" fillId="2" fontId="24" numFmtId="0" xfId="0" applyAlignment="1" applyBorder="1" applyFont="1">
      <alignment shrinkToFit="0" vertical="center" wrapText="1"/>
    </xf>
    <xf borderId="86" fillId="0" fontId="17" numFmtId="166" xfId="0" applyAlignment="1" applyBorder="1" applyFont="1" applyNumberFormat="1">
      <alignment vertical="center"/>
    </xf>
    <xf borderId="87" fillId="0" fontId="17" numFmtId="166" xfId="0" applyAlignment="1" applyBorder="1" applyFont="1" applyNumberFormat="1">
      <alignment vertical="center"/>
    </xf>
    <xf borderId="13" fillId="0" fontId="17" numFmtId="0" xfId="0" applyBorder="1" applyFont="1"/>
    <xf borderId="2" fillId="0" fontId="17" numFmtId="0" xfId="0" applyAlignment="1" applyBorder="1" applyFont="1">
      <alignment shrinkToFit="0" vertical="center" wrapText="1"/>
    </xf>
    <xf borderId="2" fillId="0" fontId="17" numFmtId="0" xfId="0" applyAlignment="1" applyBorder="1" applyFont="1">
      <alignment vertical="center"/>
    </xf>
    <xf borderId="13" fillId="0" fontId="17" numFmtId="0" xfId="0" applyAlignment="1" applyBorder="1" applyFont="1">
      <alignment vertical="bottom"/>
    </xf>
    <xf borderId="10" fillId="0" fontId="25" numFmtId="0" xfId="0" applyBorder="1" applyFont="1"/>
    <xf borderId="11" fillId="0" fontId="26" numFmtId="0" xfId="0" applyAlignment="1" applyBorder="1" applyFont="1">
      <alignment horizontal="left" readingOrder="0" vertical="center"/>
    </xf>
    <xf borderId="10" fillId="0" fontId="25" numFmtId="0" xfId="0" applyBorder="1" applyFont="1"/>
    <xf borderId="11" fillId="0" fontId="26" numFmtId="0" xfId="0" applyAlignment="1" applyBorder="1" applyFont="1">
      <alignment horizontal="left" readingOrder="0" vertical="bottom"/>
    </xf>
    <xf borderId="10" fillId="0" fontId="27" numFmtId="0" xfId="0" applyAlignment="1" applyBorder="1" applyFont="1">
      <alignment readingOrder="0" shrinkToFit="0" vertical="bottom" wrapText="1"/>
    </xf>
    <xf borderId="10" fillId="0" fontId="27" numFmtId="0" xfId="0" applyAlignment="1" applyBorder="1" applyFont="1">
      <alignment readingOrder="0" vertical="bottom"/>
    </xf>
    <xf borderId="10" fillId="0" fontId="27" numFmtId="0" xfId="0" applyAlignment="1" applyBorder="1" applyFont="1">
      <alignment vertical="bottom"/>
    </xf>
    <xf borderId="11" fillId="0" fontId="28" numFmtId="0" xfId="0" applyAlignment="1" applyBorder="1" applyFont="1">
      <alignment readingOrder="0" vertical="center"/>
    </xf>
    <xf borderId="10" fillId="0" fontId="1" numFmtId="0" xfId="0" applyAlignment="1" applyBorder="1" applyFont="1">
      <alignment vertical="bottom"/>
    </xf>
    <xf borderId="11" fillId="0" fontId="28" numFmtId="0" xfId="0" applyAlignment="1" applyBorder="1" applyFont="1">
      <alignment readingOrder="0" shrinkToFit="0" vertical="center" wrapText="1"/>
    </xf>
    <xf borderId="10" fillId="0" fontId="29" numFmtId="0" xfId="0" applyAlignment="1" applyBorder="1" applyFont="1">
      <alignment readingOrder="0" shrinkToFit="0" vertical="bottom" wrapText="1"/>
    </xf>
    <xf borderId="13" fillId="0" fontId="1" numFmtId="0" xfId="0" applyAlignment="1" applyBorder="1" applyFont="1">
      <alignment horizontal="center" shrinkToFit="0" vertical="center" wrapText="1"/>
    </xf>
    <xf borderId="13" fillId="0" fontId="1" numFmtId="0" xfId="0" applyAlignment="1" applyBorder="1" applyFont="1">
      <alignment vertical="center"/>
    </xf>
    <xf borderId="13" fillId="0" fontId="30" numFmtId="0" xfId="0" applyAlignment="1" applyBorder="1" applyFont="1">
      <alignment readingOrder="0"/>
    </xf>
    <xf borderId="13" fillId="0" fontId="1" numFmtId="0" xfId="0" applyAlignment="1" applyBorder="1" applyFont="1">
      <alignment vertical="bottom"/>
    </xf>
    <xf borderId="13" fillId="0" fontId="1" numFmtId="0" xfId="0" applyAlignment="1" applyBorder="1" applyFont="1">
      <alignment shrinkToFit="0" vertical="bottom" wrapText="1"/>
    </xf>
    <xf borderId="33" fillId="11" fontId="31" numFmtId="0" xfId="0" applyAlignment="1" applyBorder="1" applyFont="1">
      <alignment horizontal="center" shrinkToFit="0" vertical="center" wrapText="1"/>
    </xf>
    <xf borderId="74" fillId="11" fontId="31" numFmtId="0" xfId="0" applyAlignment="1" applyBorder="1" applyFont="1">
      <alignment horizontal="center" readingOrder="0"/>
    </xf>
    <xf borderId="74" fillId="11" fontId="31" numFmtId="0" xfId="0" applyAlignment="1" applyBorder="1" applyFont="1">
      <alignment horizontal="center"/>
    </xf>
    <xf borderId="74" fillId="11" fontId="31" numFmtId="0" xfId="0" applyAlignment="1" applyBorder="1" applyFont="1">
      <alignment horizontal="center" readingOrder="0" shrinkToFit="0" wrapText="1"/>
    </xf>
    <xf borderId="11" fillId="0" fontId="5" numFmtId="0" xfId="0" applyAlignment="1" applyBorder="1" applyFont="1">
      <alignment vertical="center"/>
    </xf>
    <xf borderId="88" fillId="6" fontId="28" numFmtId="0" xfId="0" applyAlignment="1" applyBorder="1" applyFont="1">
      <alignment horizontal="center" readingOrder="0" shrinkToFit="0" vertical="center" wrapText="1"/>
    </xf>
    <xf borderId="34" fillId="6" fontId="28" numFmtId="0" xfId="0" applyAlignment="1" applyBorder="1" applyFont="1">
      <alignment readingOrder="0" vertical="center"/>
    </xf>
    <xf borderId="86" fillId="6" fontId="5" numFmtId="0" xfId="0" applyAlignment="1" applyBorder="1" applyFont="1">
      <alignment vertical="center"/>
    </xf>
    <xf borderId="86" fillId="6" fontId="32" numFmtId="164" xfId="0" applyAlignment="1" applyBorder="1" applyFont="1" applyNumberFormat="1">
      <alignment vertical="center"/>
    </xf>
    <xf borderId="86" fillId="6" fontId="5" numFmtId="0" xfId="0" applyAlignment="1" applyBorder="1" applyFont="1">
      <alignment shrinkToFit="0" vertical="center" wrapText="1"/>
    </xf>
    <xf borderId="87" fillId="6" fontId="5" numFmtId="0" xfId="0" applyAlignment="1" applyBorder="1" applyFont="1">
      <alignment vertical="center"/>
    </xf>
    <xf borderId="9" fillId="0" fontId="5" numFmtId="0" xfId="0" applyAlignment="1" applyBorder="1" applyFont="1">
      <alignment vertical="center"/>
    </xf>
    <xf borderId="89" fillId="0" fontId="28" numFmtId="0" xfId="0" applyAlignment="1" applyBorder="1" applyFont="1">
      <alignment horizontal="center" readingOrder="0" shrinkToFit="0" vertical="center" wrapText="1"/>
    </xf>
    <xf borderId="90" fillId="0" fontId="15" numFmtId="0" xfId="0" applyAlignment="1" applyBorder="1" applyFont="1">
      <alignment readingOrder="0" shrinkToFit="0" vertical="center" wrapText="1"/>
    </xf>
    <xf borderId="0" fillId="2" fontId="33" numFmtId="168" xfId="0" applyAlignment="1" applyFont="1" applyNumberFormat="1">
      <alignment readingOrder="0" vertical="center"/>
    </xf>
    <xf borderId="0" fillId="0" fontId="33" numFmtId="168" xfId="0" applyAlignment="1" applyFont="1" applyNumberFormat="1">
      <alignment readingOrder="0" vertical="center"/>
    </xf>
    <xf borderId="0" fillId="2" fontId="33" numFmtId="166" xfId="0" applyAlignment="1" applyFont="1" applyNumberFormat="1">
      <alignment readingOrder="0" vertical="center"/>
    </xf>
    <xf borderId="0" fillId="0" fontId="33" numFmtId="0" xfId="0" applyAlignment="1" applyFont="1">
      <alignment readingOrder="0" vertical="center"/>
    </xf>
    <xf borderId="0" fillId="2" fontId="33" numFmtId="0" xfId="0" applyAlignment="1" applyFont="1">
      <alignment readingOrder="0" shrinkToFit="0" vertical="center" wrapText="1"/>
    </xf>
    <xf borderId="79" fillId="0" fontId="33" numFmtId="0" xfId="0" applyAlignment="1" applyBorder="1" applyFont="1">
      <alignment readingOrder="0" shrinkToFit="0" vertical="center" wrapText="1"/>
    </xf>
    <xf borderId="0" fillId="18" fontId="33" numFmtId="0" xfId="0" applyAlignment="1" applyFill="1" applyFont="1">
      <alignment readingOrder="0" shrinkToFit="0" vertical="center" wrapText="1"/>
    </xf>
    <xf borderId="79" fillId="0" fontId="33" numFmtId="0" xfId="0" applyAlignment="1" applyBorder="1" applyFont="1">
      <alignment readingOrder="0" vertical="center"/>
    </xf>
    <xf borderId="79" fillId="0" fontId="15" numFmtId="0" xfId="0" applyAlignment="1" applyBorder="1" applyFont="1">
      <alignment readingOrder="0" shrinkToFit="0" vertical="center" wrapText="1"/>
    </xf>
    <xf borderId="0" fillId="0" fontId="33" numFmtId="0" xfId="0" applyAlignment="1" applyFont="1">
      <alignment readingOrder="0" shrinkToFit="0" wrapText="1"/>
    </xf>
    <xf borderId="0" fillId="2" fontId="33" numFmtId="0" xfId="0" applyAlignment="1" applyFont="1">
      <alignment readingOrder="0" shrinkToFit="0" wrapText="1"/>
    </xf>
    <xf borderId="89" fillId="0" fontId="14" numFmtId="0" xfId="0" applyAlignment="1" applyBorder="1" applyFont="1">
      <alignment horizontal="center" readingOrder="0" shrinkToFit="0" vertical="center" wrapText="1"/>
    </xf>
    <xf borderId="79" fillId="0" fontId="5" numFmtId="0" xfId="0" applyAlignment="1" applyBorder="1" applyFont="1">
      <alignment readingOrder="0" shrinkToFit="0" vertical="center" wrapText="1"/>
    </xf>
    <xf borderId="0" fillId="2" fontId="33" numFmtId="0" xfId="0" applyAlignment="1" applyFont="1">
      <alignment readingOrder="0" shrinkToFit="0" vertical="center" wrapText="1"/>
    </xf>
    <xf borderId="79" fillId="0" fontId="33" numFmtId="0" xfId="0" applyAlignment="1" applyBorder="1" applyFont="1">
      <alignment readingOrder="0" shrinkToFit="0" vertical="center" wrapText="1"/>
    </xf>
    <xf borderId="79" fillId="0" fontId="14" numFmtId="0" xfId="0" applyAlignment="1" applyBorder="1" applyFont="1">
      <alignment readingOrder="0" shrinkToFit="0" vertical="center" wrapText="1"/>
    </xf>
    <xf borderId="0" fillId="2" fontId="33" numFmtId="0" xfId="0" applyFont="1"/>
    <xf borderId="0" fillId="0" fontId="33" numFmtId="0" xfId="0" applyFont="1"/>
    <xf borderId="0" fillId="2" fontId="33" numFmtId="166" xfId="0" applyFont="1" applyNumberFormat="1"/>
    <xf borderId="0" fillId="2" fontId="33" numFmtId="0" xfId="0" applyAlignment="1" applyFont="1">
      <alignment shrinkToFit="0" wrapText="1"/>
    </xf>
    <xf borderId="79" fillId="0" fontId="33" numFmtId="0" xfId="0" applyBorder="1" applyFont="1"/>
    <xf borderId="89" fillId="0" fontId="14" numFmtId="0" xfId="0" applyAlignment="1" applyBorder="1" applyFont="1">
      <alignment readingOrder="0" shrinkToFit="0" vertical="center" wrapText="1"/>
    </xf>
    <xf borderId="79" fillId="0" fontId="3" numFmtId="0" xfId="0" applyBorder="1" applyFont="1"/>
    <xf borderId="0" fillId="0" fontId="34" numFmtId="0" xfId="0" applyAlignment="1" applyFont="1">
      <alignment readingOrder="0" shrinkToFit="0" wrapText="1"/>
    </xf>
    <xf borderId="79" fillId="0" fontId="5" numFmtId="0" xfId="0" applyAlignment="1" applyBorder="1" applyFont="1">
      <alignment readingOrder="0" vertical="center"/>
    </xf>
    <xf borderId="0" fillId="0" fontId="33" numFmtId="0" xfId="0" applyAlignment="1" applyFont="1">
      <alignment readingOrder="0" shrinkToFit="0" wrapText="1"/>
    </xf>
    <xf borderId="0" fillId="2" fontId="35" numFmtId="0" xfId="0" applyAlignment="1" applyFont="1">
      <alignment readingOrder="0" shrinkToFit="0" wrapText="1"/>
    </xf>
    <xf borderId="86" fillId="0" fontId="5" numFmtId="0" xfId="0" applyBorder="1" applyFont="1"/>
    <xf borderId="0" fillId="0" fontId="33" numFmtId="0" xfId="0" applyAlignment="1" applyFont="1">
      <alignment readingOrder="0" shrinkToFit="0" vertical="center" wrapText="1"/>
    </xf>
    <xf borderId="88" fillId="0" fontId="14" numFmtId="0" xfId="0" applyAlignment="1" applyBorder="1" applyFont="1">
      <alignment horizontal="center" readingOrder="0" shrinkToFit="0" vertical="center" wrapText="1"/>
    </xf>
    <xf borderId="87" fillId="0" fontId="5" numFmtId="0" xfId="0" applyAlignment="1" applyBorder="1" applyFont="1">
      <alignment readingOrder="0" shrinkToFit="0" vertical="center" wrapText="1"/>
    </xf>
    <xf borderId="2" fillId="5" fontId="36" numFmtId="0" xfId="0" applyAlignment="1" applyBorder="1" applyFont="1">
      <alignment horizontal="center" readingOrder="0" shrinkToFit="0" vertical="center" wrapText="1"/>
    </xf>
    <xf borderId="36" fillId="5" fontId="37" numFmtId="0" xfId="0" applyAlignment="1" applyBorder="1" applyFont="1">
      <alignment readingOrder="0" shrinkToFit="0" vertical="center" wrapText="1"/>
    </xf>
    <xf borderId="33" fillId="6" fontId="28" numFmtId="0" xfId="0" applyAlignment="1" applyBorder="1" applyFont="1">
      <alignment horizontal="center" readingOrder="0" shrinkToFit="0" vertical="center" wrapText="1"/>
    </xf>
    <xf borderId="34" fillId="6" fontId="5" numFmtId="0" xfId="0" applyAlignment="1" applyBorder="1" applyFont="1">
      <alignment vertical="center"/>
    </xf>
    <xf borderId="34" fillId="6" fontId="33" numFmtId="0" xfId="0" applyAlignment="1" applyBorder="1" applyFont="1">
      <alignment vertical="center"/>
    </xf>
    <xf borderId="34" fillId="6" fontId="38" numFmtId="164" xfId="0" applyAlignment="1" applyBorder="1" applyFont="1" applyNumberFormat="1">
      <alignment vertical="center"/>
    </xf>
    <xf borderId="34" fillId="6" fontId="33" numFmtId="0" xfId="0" applyAlignment="1" applyBorder="1" applyFont="1">
      <alignment shrinkToFit="0" vertical="center" wrapText="1"/>
    </xf>
    <xf borderId="35" fillId="6" fontId="33" numFmtId="0" xfId="0" applyAlignment="1" applyBorder="1" applyFont="1">
      <alignment vertical="center"/>
    </xf>
    <xf borderId="0" fillId="2" fontId="33" numFmtId="166" xfId="0" applyAlignment="1" applyFont="1" applyNumberFormat="1">
      <alignment readingOrder="0"/>
    </xf>
    <xf borderId="0" fillId="0" fontId="33" numFmtId="0" xfId="0" applyAlignment="1" applyFont="1">
      <alignment readingOrder="0"/>
    </xf>
    <xf borderId="10" fillId="0" fontId="5" numFmtId="0" xfId="0" applyAlignment="1" applyBorder="1" applyFont="1">
      <alignment vertical="center"/>
    </xf>
    <xf borderId="2" fillId="0" fontId="5" numFmtId="0" xfId="0" applyAlignment="1" applyBorder="1" applyFont="1">
      <alignment horizontal="center" shrinkToFit="0" vertical="center" wrapText="1"/>
    </xf>
    <xf borderId="2" fillId="0" fontId="5" numFmtId="0" xfId="0" applyAlignment="1" applyBorder="1" applyFont="1">
      <alignment vertical="center"/>
    </xf>
    <xf borderId="2" fillId="0" fontId="33" numFmtId="0" xfId="0" applyAlignment="1" applyBorder="1" applyFont="1">
      <alignment vertical="center"/>
    </xf>
    <xf borderId="2" fillId="0" fontId="39" numFmtId="0" xfId="0" applyAlignment="1" applyBorder="1" applyFont="1">
      <alignment shrinkToFit="0" vertical="center" wrapText="1"/>
    </xf>
    <xf borderId="13" fillId="0" fontId="5" numFmtId="0" xfId="0" applyBorder="1" applyFont="1"/>
    <xf borderId="0" fillId="0" fontId="14" numFmtId="0" xfId="0" applyAlignment="1" applyFont="1">
      <alignment horizontal="center" readingOrder="0" shrinkToFit="0" vertical="center" wrapText="1"/>
    </xf>
    <xf borderId="0" fillId="0" fontId="5" numFmtId="0" xfId="0" applyAlignment="1" applyFont="1">
      <alignment readingOrder="0" shrinkToFit="0" vertical="center" wrapText="1"/>
    </xf>
    <xf borderId="3" fillId="0" fontId="5" numFmtId="0" xfId="0" applyAlignment="1" applyBorder="1" applyFont="1">
      <alignment readingOrder="0"/>
    </xf>
    <xf borderId="3" fillId="0" fontId="5" numFmtId="0" xfId="0" applyBorder="1" applyFont="1"/>
    <xf borderId="10" fillId="0" fontId="5" numFmtId="0" xfId="0" applyAlignment="1" applyBorder="1" applyFont="1">
      <alignment readingOrder="0" vertical="center"/>
    </xf>
    <xf borderId="31" fillId="0" fontId="5" numFmtId="0" xfId="0" applyAlignment="1" applyBorder="1" applyFont="1">
      <alignment readingOrder="0" vertical="center"/>
    </xf>
    <xf borderId="11" fillId="0" fontId="5" numFmtId="0" xfId="0" applyAlignment="1" applyBorder="1" applyFont="1">
      <alignment readingOrder="0"/>
    </xf>
    <xf borderId="33" fillId="11" fontId="40" numFmtId="0" xfId="0" applyAlignment="1" applyBorder="1" applyFont="1">
      <alignment horizontal="center" readingOrder="0" vertical="center"/>
    </xf>
    <xf borderId="34" fillId="11" fontId="40" numFmtId="0" xfId="0" applyAlignment="1" applyBorder="1" applyFont="1">
      <alignment horizontal="center" readingOrder="0" vertical="center"/>
    </xf>
    <xf borderId="35" fillId="11" fontId="40" numFmtId="0" xfId="0" applyAlignment="1" applyBorder="1" applyFont="1">
      <alignment horizontal="center" readingOrder="0" vertical="center"/>
    </xf>
    <xf borderId="91" fillId="6" fontId="14" numFmtId="0" xfId="0" applyAlignment="1" applyBorder="1" applyFont="1">
      <alignment horizontal="center" readingOrder="0"/>
    </xf>
    <xf borderId="0" fillId="2" fontId="5" numFmtId="0" xfId="0" applyFont="1"/>
    <xf borderId="79" fillId="2" fontId="5" numFmtId="0" xfId="0" applyBorder="1" applyFont="1"/>
    <xf borderId="92" fillId="6" fontId="14" numFmtId="0" xfId="0" applyAlignment="1" applyBorder="1" applyFont="1">
      <alignment horizontal="center" readingOrder="0"/>
    </xf>
    <xf borderId="86" fillId="2" fontId="5" numFmtId="0" xfId="0" applyBorder="1" applyFont="1"/>
    <xf borderId="87" fillId="2" fontId="5" numFmtId="0" xfId="0" applyBorder="1" applyFont="1"/>
    <xf borderId="11" fillId="0" fontId="28" numFmtId="0" xfId="0" applyAlignment="1" applyBorder="1" applyFont="1">
      <alignment readingOrder="0" vertical="bottom"/>
    </xf>
    <xf borderId="11" fillId="0" fontId="28" numFmtId="0" xfId="0" applyAlignment="1" applyBorder="1" applyFont="1">
      <alignment readingOrder="0" shrinkToFit="0" vertical="bottom" wrapText="1"/>
    </xf>
    <xf borderId="10" fillId="0" fontId="41" numFmtId="0" xfId="0" applyAlignment="1" applyBorder="1" applyFont="1">
      <alignment readingOrder="0" vertical="bottom"/>
    </xf>
    <xf borderId="13" fillId="0" fontId="1" numFmtId="0" xfId="0" applyAlignment="1" applyBorder="1" applyFont="1">
      <alignment horizontal="center" shrinkToFit="0" vertical="bottom" wrapText="1"/>
    </xf>
    <xf borderId="47" fillId="12" fontId="31" numFmtId="0" xfId="0" applyAlignment="1" applyBorder="1" applyFont="1">
      <alignment horizontal="center" shrinkToFit="0" wrapText="1"/>
    </xf>
    <xf borderId="93" fillId="12" fontId="31" numFmtId="0" xfId="0" applyAlignment="1" applyBorder="1" applyFont="1">
      <alignment horizontal="center" readingOrder="0"/>
    </xf>
    <xf borderId="93" fillId="12" fontId="31" numFmtId="0" xfId="0" applyAlignment="1" applyBorder="1" applyFont="1">
      <alignment horizontal="center"/>
    </xf>
    <xf borderId="93" fillId="12" fontId="31" numFmtId="0" xfId="0" applyAlignment="1" applyBorder="1" applyFont="1">
      <alignment horizontal="center" readingOrder="0" shrinkToFit="0" wrapText="1"/>
    </xf>
    <xf borderId="47" fillId="7" fontId="28" numFmtId="0" xfId="0" applyAlignment="1" applyBorder="1" applyFont="1">
      <alignment horizontal="center" readingOrder="0" shrinkToFit="0" vertical="center" wrapText="1"/>
    </xf>
    <xf borderId="49" fillId="7" fontId="28" numFmtId="0" xfId="0" applyAlignment="1" applyBorder="1" applyFont="1">
      <alignment readingOrder="0" vertical="center"/>
    </xf>
    <xf borderId="48" fillId="7" fontId="5" numFmtId="0" xfId="0" applyAlignment="1" applyBorder="1" applyFont="1">
      <alignment vertical="center"/>
    </xf>
    <xf borderId="48" fillId="7" fontId="32" numFmtId="164" xfId="0" applyAlignment="1" applyBorder="1" applyFont="1" applyNumberFormat="1">
      <alignment vertical="center"/>
    </xf>
    <xf borderId="49" fillId="7" fontId="5" numFmtId="0" xfId="0" applyAlignment="1" applyBorder="1" applyFont="1">
      <alignment vertical="center"/>
    </xf>
    <xf borderId="94" fillId="0" fontId="28" numFmtId="0" xfId="0" applyAlignment="1" applyBorder="1" applyFont="1">
      <alignment horizontal="center" readingOrder="0" shrinkToFit="0" vertical="bottom" wrapText="1"/>
    </xf>
    <xf borderId="95" fillId="0" fontId="15" numFmtId="0" xfId="0" applyAlignment="1" applyBorder="1" applyFont="1">
      <alignment readingOrder="0" vertical="bottom"/>
    </xf>
    <xf borderId="0" fillId="2" fontId="33" numFmtId="169" xfId="0" applyAlignment="1" applyFont="1" applyNumberFormat="1">
      <alignment horizontal="right" readingOrder="0" shrinkToFit="0" wrapText="1"/>
    </xf>
    <xf borderId="0" fillId="0" fontId="33" numFmtId="169" xfId="0" applyAlignment="1" applyFont="1" applyNumberFormat="1">
      <alignment horizontal="right" readingOrder="0" shrinkToFit="0" wrapText="1"/>
    </xf>
    <xf borderId="0" fillId="2" fontId="33" numFmtId="164" xfId="0" applyAlignment="1" applyFont="1" applyNumberFormat="1">
      <alignment horizontal="right" readingOrder="0" shrinkToFit="0" wrapText="1"/>
    </xf>
    <xf borderId="0" fillId="0" fontId="33" numFmtId="0" xfId="0" applyAlignment="1" applyFont="1">
      <alignment horizontal="right" readingOrder="0" shrinkToFit="0" wrapText="1"/>
    </xf>
    <xf borderId="0" fillId="2" fontId="42" numFmtId="0" xfId="0" applyAlignment="1" applyFont="1">
      <alignment horizontal="right" readingOrder="0" shrinkToFit="0" wrapText="1"/>
    </xf>
    <xf borderId="95" fillId="0" fontId="33" numFmtId="0" xfId="0" applyAlignment="1" applyBorder="1" applyFont="1">
      <alignment horizontal="right" readingOrder="0" shrinkToFit="0" wrapText="1"/>
    </xf>
    <xf borderId="95" fillId="0" fontId="5" numFmtId="0" xfId="0" applyAlignment="1" applyBorder="1" applyFont="1">
      <alignment readingOrder="0"/>
    </xf>
    <xf borderId="0" fillId="2" fontId="43" numFmtId="0" xfId="0" applyAlignment="1" applyFont="1">
      <alignment horizontal="right" readingOrder="0" shrinkToFit="0" wrapText="1"/>
    </xf>
    <xf borderId="0" fillId="2" fontId="44" numFmtId="0" xfId="0" applyAlignment="1" applyFont="1">
      <alignment horizontal="right" readingOrder="0" shrinkToFit="0" wrapText="1"/>
    </xf>
    <xf borderId="94" fillId="0" fontId="14" numFmtId="0" xfId="0" applyAlignment="1" applyBorder="1" applyFont="1">
      <alignment horizontal="center" readingOrder="0" shrinkToFit="0" wrapText="1"/>
    </xf>
    <xf borderId="0" fillId="2" fontId="33" numFmtId="0" xfId="0" applyAlignment="1" applyFont="1">
      <alignment horizontal="right" readingOrder="0" shrinkToFit="0" vertical="center" wrapText="1"/>
    </xf>
    <xf borderId="0" fillId="2" fontId="33" numFmtId="0" xfId="0" applyAlignment="1" applyFont="1">
      <alignment horizontal="right" readingOrder="0" shrinkToFit="0" wrapText="1"/>
    </xf>
    <xf borderId="0" fillId="0" fontId="33" numFmtId="0" xfId="0" applyAlignment="1" applyFont="1">
      <alignment horizontal="right" shrinkToFit="0" wrapText="1"/>
    </xf>
    <xf borderId="0" fillId="2" fontId="33" numFmtId="164" xfId="0" applyAlignment="1" applyFont="1" applyNumberFormat="1">
      <alignment horizontal="right" shrinkToFit="0" wrapText="1"/>
    </xf>
    <xf borderId="0" fillId="2" fontId="33" numFmtId="0" xfId="0" applyAlignment="1" applyFont="1">
      <alignment horizontal="right" shrinkToFit="0" vertical="center" wrapText="1"/>
    </xf>
    <xf borderId="95" fillId="0" fontId="33" numFmtId="0" xfId="0" applyAlignment="1" applyBorder="1" applyFont="1">
      <alignment horizontal="right" shrinkToFit="0" wrapText="1"/>
    </xf>
    <xf borderId="0" fillId="2" fontId="33" numFmtId="0" xfId="0" applyAlignment="1" applyFont="1">
      <alignment horizontal="right" shrinkToFit="0" wrapText="1"/>
    </xf>
    <xf borderId="94" fillId="0" fontId="5" numFmtId="0" xfId="0" applyAlignment="1" applyBorder="1" applyFont="1">
      <alignment readingOrder="0"/>
    </xf>
    <xf borderId="95" fillId="0" fontId="3" numFmtId="0" xfId="0" applyBorder="1" applyFont="1"/>
    <xf borderId="96" fillId="0" fontId="14" numFmtId="0" xfId="0" applyAlignment="1" applyBorder="1" applyFont="1">
      <alignment horizontal="center" readingOrder="0" shrinkToFit="0" wrapText="1"/>
    </xf>
    <xf borderId="97" fillId="0" fontId="5" numFmtId="0" xfId="0" applyAlignment="1" applyBorder="1" applyFont="1">
      <alignment readingOrder="0"/>
    </xf>
    <xf borderId="98" fillId="2" fontId="33" numFmtId="169" xfId="0" applyAlignment="1" applyBorder="1" applyFont="1" applyNumberFormat="1">
      <alignment horizontal="right" readingOrder="0" shrinkToFit="0" wrapText="1"/>
    </xf>
    <xf borderId="98" fillId="0" fontId="33" numFmtId="169" xfId="0" applyAlignment="1" applyBorder="1" applyFont="1" applyNumberFormat="1">
      <alignment horizontal="right" readingOrder="0" shrinkToFit="0" wrapText="1"/>
    </xf>
    <xf borderId="98" fillId="2" fontId="33" numFmtId="164" xfId="0" applyAlignment="1" applyBorder="1" applyFont="1" applyNumberFormat="1">
      <alignment horizontal="right" readingOrder="0" shrinkToFit="0" wrapText="1"/>
    </xf>
    <xf borderId="98" fillId="0" fontId="33" numFmtId="0" xfId="0" applyAlignment="1" applyBorder="1" applyFont="1">
      <alignment horizontal="right" readingOrder="0" shrinkToFit="0" wrapText="1"/>
    </xf>
    <xf borderId="98" fillId="2" fontId="33" numFmtId="0" xfId="0" applyAlignment="1" applyBorder="1" applyFont="1">
      <alignment horizontal="right" readingOrder="0" shrinkToFit="0" wrapText="1"/>
    </xf>
    <xf borderId="97" fillId="0" fontId="33" numFmtId="0" xfId="0" applyAlignment="1" applyBorder="1" applyFont="1">
      <alignment horizontal="right" readingOrder="0" shrinkToFit="0" wrapText="1"/>
    </xf>
    <xf borderId="2" fillId="0" fontId="5" numFmtId="0" xfId="0" applyAlignment="1" applyBorder="1" applyFont="1">
      <alignment horizontal="center" shrinkToFit="0" wrapText="1"/>
    </xf>
    <xf borderId="2" fillId="0" fontId="5" numFmtId="0" xfId="0" applyBorder="1" applyFont="1"/>
    <xf borderId="2" fillId="0" fontId="45" numFmtId="0" xfId="0" applyBorder="1" applyFont="1"/>
    <xf borderId="95" fillId="0" fontId="5" numFmtId="0" xfId="0" applyBorder="1" applyFont="1"/>
    <xf borderId="98" fillId="0" fontId="5" numFmtId="0" xfId="0" applyBorder="1" applyFont="1"/>
    <xf borderId="98" fillId="2" fontId="33" numFmtId="0" xfId="0" applyBorder="1" applyFont="1"/>
    <xf borderId="98" fillId="0" fontId="33" numFmtId="0" xfId="0" applyBorder="1" applyFont="1"/>
    <xf borderId="97" fillId="0" fontId="5" numFmtId="0" xfId="0" applyBorder="1" applyFont="1"/>
    <xf borderId="2" fillId="0" fontId="45" numFmtId="0" xfId="0" applyAlignment="1" applyBorder="1" applyFont="1">
      <alignment vertical="center"/>
    </xf>
    <xf borderId="11" fillId="0" fontId="5" numFmtId="0" xfId="0" applyAlignment="1" applyBorder="1" applyFont="1">
      <alignment vertical="center"/>
    </xf>
    <xf borderId="3" fillId="0" fontId="5" numFmtId="0" xfId="0" applyAlignment="1" applyBorder="1" applyFont="1">
      <alignment vertical="bottom"/>
    </xf>
    <xf borderId="37" fillId="0" fontId="4" numFmtId="0" xfId="0" applyAlignment="1" applyBorder="1" applyFont="1">
      <alignment shrinkToFit="0" vertical="bottom" wrapText="1"/>
    </xf>
    <xf borderId="3" fillId="0" fontId="1" numFmtId="0" xfId="0" applyAlignment="1" applyBorder="1" applyFont="1">
      <alignment vertical="bottom"/>
    </xf>
    <xf borderId="11" fillId="0" fontId="4" numFmtId="0" xfId="0" applyAlignment="1" applyBorder="1" applyFont="1">
      <alignment shrinkToFit="0" vertical="bottom" wrapText="1"/>
    </xf>
    <xf borderId="93" fillId="12" fontId="46" numFmtId="0" xfId="0" applyAlignment="1" applyBorder="1" applyFont="1">
      <alignment horizontal="right" readingOrder="0" shrinkToFit="0" vertical="center" wrapText="1"/>
    </xf>
    <xf borderId="9" fillId="0" fontId="1" numFmtId="0" xfId="0" applyAlignment="1" applyBorder="1" applyFont="1">
      <alignment vertical="bottom"/>
    </xf>
    <xf borderId="99" fillId="0" fontId="15" numFmtId="166" xfId="0" applyAlignment="1" applyBorder="1" applyFont="1" applyNumberFormat="1">
      <alignment readingOrder="0" shrinkToFit="0" vertical="center" wrapText="1"/>
    </xf>
    <xf borderId="11" fillId="0" fontId="47" numFmtId="0" xfId="0" applyAlignment="1" applyBorder="1" applyFont="1">
      <alignment readingOrder="0" shrinkToFit="0" vertical="center" wrapText="1"/>
    </xf>
    <xf borderId="31" fillId="0" fontId="47" numFmtId="0" xfId="0" applyAlignment="1" applyBorder="1" applyFont="1">
      <alignment readingOrder="0" shrinkToFit="0" vertical="top" wrapText="1"/>
    </xf>
    <xf borderId="100" fillId="9" fontId="48" numFmtId="164" xfId="0" applyBorder="1" applyFont="1" applyNumberFormat="1"/>
    <xf borderId="2" fillId="0" fontId="47" numFmtId="0" xfId="0" applyAlignment="1" applyBorder="1" applyFont="1">
      <alignment readingOrder="0" shrinkToFit="0" vertical="center" wrapText="1"/>
    </xf>
    <xf borderId="10" fillId="0" fontId="1" numFmtId="0" xfId="0" applyAlignment="1" applyBorder="1" applyFont="1">
      <alignment vertical="bottom"/>
    </xf>
    <xf borderId="93" fillId="12" fontId="46" numFmtId="0" xfId="0" applyAlignment="1" applyBorder="1" applyFont="1">
      <alignment shrinkToFit="0" vertical="center" wrapText="1"/>
    </xf>
    <xf borderId="93" fillId="12" fontId="46" numFmtId="0" xfId="0" applyAlignment="1" applyBorder="1" applyFont="1">
      <alignment readingOrder="0" shrinkToFit="0" vertical="center" wrapText="1"/>
    </xf>
    <xf borderId="101" fillId="2" fontId="4" numFmtId="0" xfId="0" applyAlignment="1" applyBorder="1" applyFont="1">
      <alignment readingOrder="0" shrinkToFit="0" vertical="center" wrapText="1"/>
    </xf>
    <xf borderId="76" fillId="2" fontId="49" numFmtId="166" xfId="0" applyAlignment="1" applyBorder="1" applyFont="1" applyNumberFormat="1">
      <alignment horizontal="right" readingOrder="0" shrinkToFit="0" vertical="center" wrapText="0"/>
    </xf>
    <xf borderId="102" fillId="2" fontId="1" numFmtId="166" xfId="0" applyAlignment="1" applyBorder="1" applyFont="1" applyNumberFormat="1">
      <alignment vertical="center"/>
    </xf>
    <xf borderId="103" fillId="2" fontId="1" numFmtId="0" xfId="0" applyAlignment="1" applyBorder="1" applyFont="1">
      <alignment shrinkToFit="0" vertical="center" wrapText="1"/>
    </xf>
    <xf borderId="0" fillId="0" fontId="1" numFmtId="166" xfId="0" applyAlignment="1" applyFont="1" applyNumberFormat="1">
      <alignment vertical="center"/>
    </xf>
    <xf borderId="95" fillId="0" fontId="1" numFmtId="166" xfId="0" applyAlignment="1" applyBorder="1" applyFont="1" applyNumberFormat="1">
      <alignment vertical="center"/>
    </xf>
    <xf borderId="0" fillId="0" fontId="1" numFmtId="166" xfId="0" applyAlignment="1" applyFont="1" applyNumberFormat="1">
      <alignment readingOrder="0" vertical="center"/>
    </xf>
    <xf borderId="95" fillId="0" fontId="1" numFmtId="166" xfId="0" applyAlignment="1" applyBorder="1" applyFont="1" applyNumberFormat="1">
      <alignment readingOrder="0" vertical="center"/>
    </xf>
    <xf borderId="104" fillId="2" fontId="1" numFmtId="0" xfId="0" applyAlignment="1" applyBorder="1" applyFont="1">
      <alignment shrinkToFit="0" vertical="center" wrapText="1"/>
    </xf>
    <xf borderId="81" fillId="2" fontId="49" numFmtId="166" xfId="0" applyAlignment="1" applyBorder="1" applyFont="1" applyNumberFormat="1">
      <alignment horizontal="right" readingOrder="0" shrinkToFit="0" vertical="center" wrapText="0"/>
    </xf>
    <xf borderId="105" fillId="2" fontId="1" numFmtId="166" xfId="0" applyAlignment="1" applyBorder="1" applyFont="1" applyNumberFormat="1">
      <alignment vertical="center"/>
    </xf>
    <xf borderId="106" fillId="2" fontId="4" numFmtId="0" xfId="0" applyAlignment="1" applyBorder="1" applyFont="1">
      <alignment readingOrder="0" shrinkToFit="0" vertical="center" wrapText="1"/>
    </xf>
    <xf borderId="107" fillId="2" fontId="1" numFmtId="0" xfId="0" applyAlignment="1" applyBorder="1" applyFont="1">
      <alignment shrinkToFit="0" vertical="center" wrapText="1"/>
    </xf>
    <xf borderId="103" fillId="2" fontId="1" numFmtId="0" xfId="0" applyAlignment="1" applyBorder="1" applyFont="1">
      <alignment readingOrder="0" shrinkToFit="0" vertical="center" wrapText="1"/>
    </xf>
    <xf borderId="103" fillId="2" fontId="50" numFmtId="0" xfId="0" applyAlignment="1" applyBorder="1" applyFont="1">
      <alignment readingOrder="0" shrinkToFit="0" vertical="center" wrapText="1"/>
    </xf>
    <xf borderId="103" fillId="2" fontId="50" numFmtId="0" xfId="0" applyAlignment="1" applyBorder="1" applyFont="1">
      <alignment shrinkToFit="0" vertical="center" wrapText="1"/>
    </xf>
    <xf borderId="108" fillId="2" fontId="50" numFmtId="0" xfId="0" applyAlignment="1" applyBorder="1" applyFont="1">
      <alignment shrinkToFit="0" vertical="center" wrapText="1"/>
    </xf>
    <xf borderId="98" fillId="0" fontId="1" numFmtId="166" xfId="0" applyAlignment="1" applyBorder="1" applyFont="1" applyNumberFormat="1">
      <alignment vertical="center"/>
    </xf>
    <xf borderId="97" fillId="0" fontId="1" numFmtId="166" xfId="0" applyAlignment="1" applyBorder="1" applyFont="1" applyNumberFormat="1">
      <alignment vertical="center"/>
    </xf>
    <xf borderId="2" fillId="0" fontId="27" numFmtId="0" xfId="0" applyAlignment="1" applyBorder="1" applyFont="1">
      <alignment shrinkToFit="0" vertical="center" wrapText="1"/>
    </xf>
    <xf borderId="2" fillId="0" fontId="1" numFmtId="0" xfId="0" applyAlignment="1" applyBorder="1" applyFont="1">
      <alignment vertical="center"/>
    </xf>
    <xf borderId="13" fillId="0" fontId="1" numFmtId="0" xfId="0" applyAlignment="1" applyBorder="1" applyFont="1">
      <alignment vertical="bottom"/>
    </xf>
    <xf borderId="47" fillId="12" fontId="40" numFmtId="0" xfId="0" applyAlignment="1" applyBorder="1" applyFont="1">
      <alignment horizontal="center" readingOrder="0" vertical="center"/>
    </xf>
    <xf borderId="93" fillId="12" fontId="40" numFmtId="0" xfId="0" applyAlignment="1" applyBorder="1" applyFont="1">
      <alignment horizontal="center" readingOrder="0" vertical="center"/>
    </xf>
    <xf borderId="99" fillId="7" fontId="14" numFmtId="0" xfId="0" applyAlignment="1" applyBorder="1" applyFont="1">
      <alignment horizontal="center" readingOrder="0"/>
    </xf>
    <xf borderId="0" fillId="0" fontId="27" numFmtId="0" xfId="0" applyAlignment="1" applyFont="1">
      <alignment vertical="bottom"/>
    </xf>
    <xf borderId="0" fillId="2" fontId="1" numFmtId="0" xfId="0" applyAlignment="1" applyFont="1">
      <alignment vertical="bottom"/>
    </xf>
    <xf borderId="0" fillId="0" fontId="5" numFmtId="0" xfId="0" applyAlignment="1" applyFont="1">
      <alignment readingOrder="0"/>
    </xf>
    <xf borderId="95" fillId="2" fontId="5" numFmtId="0" xfId="0" applyAlignment="1" applyBorder="1" applyFont="1">
      <alignment readingOrder="0"/>
    </xf>
    <xf borderId="0" fillId="2" fontId="1" numFmtId="0" xfId="0" applyAlignment="1" applyFont="1">
      <alignment vertical="bottom"/>
    </xf>
    <xf borderId="0" fillId="2" fontId="1" numFmtId="0" xfId="0" applyAlignment="1" applyFont="1">
      <alignment readingOrder="0" vertical="bottom"/>
    </xf>
    <xf borderId="0" fillId="0" fontId="27" numFmtId="0" xfId="0" applyAlignment="1" applyFont="1">
      <alignment vertical="bottom"/>
    </xf>
    <xf borderId="0" fillId="0" fontId="27" numFmtId="0" xfId="0" applyAlignment="1" applyFont="1">
      <alignment readingOrder="0" vertical="bottom"/>
    </xf>
    <xf borderId="0" fillId="0" fontId="51" numFmtId="0" xfId="0" applyAlignment="1" applyFont="1">
      <alignment readingOrder="0" vertical="bottom"/>
    </xf>
    <xf borderId="0" fillId="0" fontId="41" numFmtId="0" xfId="0" applyAlignment="1" applyFont="1">
      <alignment vertical="bottom"/>
    </xf>
    <xf borderId="100" fillId="7" fontId="14" numFmtId="0" xfId="0" applyAlignment="1" applyBorder="1" applyFont="1">
      <alignment horizontal="center" readingOrder="0"/>
    </xf>
    <xf borderId="98" fillId="0" fontId="27" numFmtId="0" xfId="0" applyAlignment="1" applyBorder="1" applyFont="1">
      <alignment vertical="bottom"/>
    </xf>
    <xf borderId="98" fillId="2" fontId="1" numFmtId="0" xfId="0" applyAlignment="1" applyBorder="1" applyFont="1">
      <alignment vertical="bottom"/>
    </xf>
    <xf borderId="98" fillId="0" fontId="5" numFmtId="0" xfId="0" applyAlignment="1" applyBorder="1" applyFont="1">
      <alignment readingOrder="0"/>
    </xf>
    <xf borderId="97" fillId="2" fontId="5" numFmtId="0" xfId="0" applyAlignment="1" applyBorder="1" applyFont="1">
      <alignment readingOrder="0"/>
    </xf>
    <xf borderId="0" fillId="0" fontId="1" numFmtId="0" xfId="0" applyAlignment="1" applyFont="1">
      <alignment vertical="bottom"/>
    </xf>
    <xf borderId="13" fillId="0" fontId="5" numFmtId="0" xfId="0" applyAlignment="1" applyBorder="1" applyFont="1">
      <alignment shrinkToFit="0" wrapText="1"/>
    </xf>
    <xf borderId="10" fillId="0" fontId="5" numFmtId="0" xfId="0" applyAlignment="1" applyBorder="1" applyFont="1">
      <alignment shrinkToFit="0" wrapText="1"/>
    </xf>
    <xf borderId="13" fillId="0" fontId="5" numFmtId="0" xfId="0" applyAlignment="1" applyBorder="1" applyFont="1">
      <alignment shrinkToFit="0" wrapText="1"/>
    </xf>
    <xf borderId="11" fillId="0" fontId="52" numFmtId="0" xfId="0" applyAlignment="1" applyBorder="1" applyFont="1">
      <alignment horizontal="center"/>
    </xf>
    <xf borderId="109" fillId="14" fontId="53" numFmtId="0" xfId="0" applyAlignment="1" applyBorder="1" applyFont="1">
      <alignment horizontal="center" shrinkToFit="0" vertical="bottom" wrapText="1"/>
    </xf>
    <xf borderId="110" fillId="0" fontId="3" numFmtId="0" xfId="0" applyBorder="1" applyFont="1"/>
    <xf borderId="111" fillId="0" fontId="3" numFmtId="0" xfId="0" applyBorder="1" applyFont="1"/>
    <xf borderId="5" fillId="0" fontId="52" numFmtId="0" xfId="0" applyAlignment="1" applyBorder="1" applyFont="1">
      <alignment horizontal="center" shrinkToFit="0" wrapText="1"/>
    </xf>
    <xf borderId="109" fillId="14" fontId="54" numFmtId="0" xfId="0" applyAlignment="1" applyBorder="1" applyFont="1">
      <alignment horizontal="center" readingOrder="0" shrinkToFit="0" wrapText="1"/>
    </xf>
    <xf borderId="9" fillId="0" fontId="52" numFmtId="0" xfId="0" applyAlignment="1" applyBorder="1" applyFont="1">
      <alignment horizontal="center"/>
    </xf>
    <xf borderId="11" fillId="0" fontId="55" numFmtId="0" xfId="0" applyBorder="1" applyFont="1"/>
    <xf borderId="59" fillId="19" fontId="56" numFmtId="0" xfId="0" applyAlignment="1" applyBorder="1" applyFill="1" applyFont="1">
      <alignment horizontal="center" shrinkToFit="0" vertical="bottom" wrapText="1"/>
    </xf>
    <xf borderId="60" fillId="19" fontId="56" numFmtId="0" xfId="0" applyAlignment="1" applyBorder="1" applyFont="1">
      <alignment horizontal="center" readingOrder="0" shrinkToFit="0" vertical="bottom" wrapText="1"/>
    </xf>
    <xf borderId="60" fillId="19" fontId="56" numFmtId="0" xfId="0" applyAlignment="1" applyBorder="1" applyFont="1">
      <alignment horizontal="center" shrinkToFit="0" vertical="bottom" wrapText="1"/>
    </xf>
    <xf borderId="61" fillId="19" fontId="56" numFmtId="0" xfId="0" applyAlignment="1" applyBorder="1" applyFont="1">
      <alignment horizontal="center" shrinkToFit="0" vertical="bottom" wrapText="1"/>
    </xf>
    <xf borderId="5" fillId="0" fontId="55" numFmtId="0" xfId="0" applyAlignment="1" applyBorder="1" applyFont="1">
      <alignment shrinkToFit="0" wrapText="1"/>
    </xf>
    <xf borderId="9" fillId="0" fontId="55" numFmtId="0" xfId="0" applyBorder="1" applyFont="1"/>
    <xf borderId="112" fillId="2" fontId="1" numFmtId="0" xfId="0" applyAlignment="1" applyBorder="1" applyFont="1">
      <alignment shrinkToFit="0" vertical="bottom" wrapText="1"/>
    </xf>
    <xf borderId="0" fillId="0" fontId="1" numFmtId="0" xfId="0" applyAlignment="1" applyFont="1">
      <alignment shrinkToFit="0" vertical="bottom" wrapText="1"/>
    </xf>
    <xf borderId="0" fillId="2" fontId="1" numFmtId="0" xfId="0" applyAlignment="1" applyFont="1">
      <alignment shrinkToFit="0" vertical="bottom" wrapText="1"/>
    </xf>
    <xf borderId="113" fillId="0" fontId="1" numFmtId="0" xfId="0" applyAlignment="1" applyBorder="1" applyFont="1">
      <alignment shrinkToFit="0" vertical="bottom" wrapText="1"/>
    </xf>
    <xf borderId="5" fillId="0" fontId="5" numFmtId="0" xfId="0" applyAlignment="1" applyBorder="1" applyFont="1">
      <alignment shrinkToFit="0" wrapText="1"/>
    </xf>
    <xf borderId="114" fillId="2" fontId="5" numFmtId="0" xfId="0" applyAlignment="1" applyBorder="1" applyFont="1">
      <alignment shrinkToFit="0" wrapText="1"/>
    </xf>
    <xf borderId="115" fillId="0" fontId="5" numFmtId="0" xfId="0" applyAlignment="1" applyBorder="1" applyFont="1">
      <alignment shrinkToFit="0" wrapText="1"/>
    </xf>
    <xf borderId="115" fillId="2" fontId="5" numFmtId="0" xfId="0" applyAlignment="1" applyBorder="1" applyFont="1">
      <alignment shrinkToFit="0" wrapText="1"/>
    </xf>
    <xf borderId="116" fillId="0" fontId="5" numFmtId="0" xfId="0" applyAlignment="1" applyBorder="1" applyFont="1">
      <alignment shrinkToFit="0" wrapText="1"/>
    </xf>
    <xf borderId="114" fillId="2" fontId="1" numFmtId="0" xfId="0" applyAlignment="1" applyBorder="1" applyFont="1">
      <alignment shrinkToFit="0" vertical="bottom" wrapText="1"/>
    </xf>
    <xf borderId="115" fillId="0" fontId="5" numFmtId="0" xfId="0" applyAlignment="1" applyBorder="1" applyFont="1">
      <alignment readingOrder="0" shrinkToFit="0" wrapText="1"/>
    </xf>
    <xf borderId="115" fillId="2" fontId="1" numFmtId="0" xfId="0" applyAlignment="1" applyBorder="1" applyFont="1">
      <alignment shrinkToFit="0" vertical="bottom" wrapText="1"/>
    </xf>
    <xf borderId="116" fillId="0" fontId="1" numFmtId="0" xfId="0" applyAlignment="1" applyBorder="1" applyFont="1">
      <alignment shrinkToFit="0" vertical="bottom" wrapText="1"/>
    </xf>
    <xf borderId="2" fillId="0" fontId="5" numFmtId="0" xfId="0" applyAlignment="1" applyBorder="1" applyFont="1">
      <alignment shrinkToFit="0" wrapText="1"/>
    </xf>
    <xf borderId="2" fillId="0" fontId="57" numFmtId="0" xfId="0" applyAlignment="1" applyBorder="1" applyFont="1">
      <alignment shrinkToFit="0" vertical="bottom" wrapText="1"/>
    </xf>
    <xf borderId="10" fillId="0" fontId="57" numFmtId="0" xfId="0" applyAlignment="1" applyBorder="1" applyFont="1">
      <alignment vertical="bottom"/>
    </xf>
    <xf borderId="11" fillId="0" fontId="52" numFmtId="0" xfId="0" applyAlignment="1" applyBorder="1" applyFont="1">
      <alignment horizontal="center"/>
    </xf>
    <xf borderId="5" fillId="0" fontId="52" numFmtId="0" xfId="0" applyAlignment="1" applyBorder="1" applyFont="1">
      <alignment horizontal="center" shrinkToFit="0" wrapText="1"/>
    </xf>
    <xf borderId="9" fillId="0" fontId="58" numFmtId="0" xfId="0" applyAlignment="1" applyBorder="1" applyFont="1">
      <alignment horizontal="center" vertical="bottom"/>
    </xf>
    <xf borderId="59" fillId="19" fontId="56" numFmtId="0" xfId="0" applyAlignment="1" applyBorder="1" applyFont="1">
      <alignment horizontal="center" readingOrder="0" shrinkToFit="0" vertical="bottom" wrapText="1"/>
    </xf>
    <xf borderId="61" fillId="19" fontId="17" numFmtId="0" xfId="0" applyAlignment="1" applyBorder="1" applyFont="1">
      <alignment horizontal="center" shrinkToFit="0" vertical="bottom" wrapText="1"/>
    </xf>
    <xf borderId="9" fillId="0" fontId="17" numFmtId="0" xfId="0" applyAlignment="1" applyBorder="1" applyFont="1">
      <alignment vertical="bottom"/>
    </xf>
    <xf borderId="112" fillId="2" fontId="1" numFmtId="0" xfId="0" applyAlignment="1" applyBorder="1" applyFont="1">
      <alignment readingOrder="0" shrinkToFit="0" vertical="bottom" wrapText="1"/>
    </xf>
    <xf borderId="0" fillId="0" fontId="1" numFmtId="0" xfId="0" applyAlignment="1" applyFont="1">
      <alignment readingOrder="0" shrinkToFit="0" vertical="bottom" wrapText="1"/>
    </xf>
    <xf borderId="0" fillId="2" fontId="1" numFmtId="0" xfId="0" applyAlignment="1" applyFont="1">
      <alignment readingOrder="0" shrinkToFit="0" vertical="bottom" wrapText="1"/>
    </xf>
    <xf borderId="113" fillId="0" fontId="1" numFmtId="0" xfId="0" applyAlignment="1" applyBorder="1" applyFont="1">
      <alignment readingOrder="0" shrinkToFit="0" vertical="bottom" wrapText="1"/>
    </xf>
    <xf borderId="5" fillId="0" fontId="5" numFmtId="0" xfId="0" applyAlignment="1" applyBorder="1" applyFont="1">
      <alignment shrinkToFit="0" wrapText="1"/>
    </xf>
    <xf borderId="112" fillId="2" fontId="59" numFmtId="0" xfId="0" applyAlignment="1" applyBorder="1" applyFont="1">
      <alignment readingOrder="0" shrinkToFit="0" wrapText="1"/>
    </xf>
    <xf borderId="9" fillId="0" fontId="57" numFmtId="0" xfId="0" applyAlignment="1" applyBorder="1" applyFont="1">
      <alignment vertical="bottom"/>
    </xf>
    <xf borderId="112" fillId="2" fontId="60" numFmtId="0" xfId="0" applyAlignment="1" applyBorder="1" applyFont="1">
      <alignment readingOrder="0" shrinkToFit="0" wrapText="1"/>
    </xf>
    <xf borderId="112" fillId="2" fontId="61" numFmtId="0" xfId="0" applyAlignment="1" applyBorder="1" applyFont="1">
      <alignment readingOrder="0" shrinkToFit="0" wrapText="1"/>
    </xf>
    <xf borderId="112" fillId="2" fontId="5" numFmtId="0" xfId="0" applyAlignment="1" applyBorder="1" applyFont="1">
      <alignment shrinkToFit="0" wrapText="1"/>
    </xf>
    <xf borderId="115" fillId="0" fontId="1" numFmtId="0" xfId="0" applyAlignment="1" applyBorder="1" applyFont="1">
      <alignment readingOrder="0" shrinkToFit="0" vertical="bottom" wrapText="1"/>
    </xf>
    <xf borderId="115" fillId="0" fontId="1" numFmtId="0" xfId="0" applyAlignment="1" applyBorder="1" applyFont="1">
      <alignment shrinkToFit="0" vertical="bottom" wrapText="1"/>
    </xf>
    <xf borderId="3" fillId="0" fontId="5" numFmtId="0" xfId="0" applyAlignment="1" applyBorder="1" applyFont="1">
      <alignment shrinkToFit="0" wrapText="1"/>
    </xf>
    <xf borderId="3" fillId="0" fontId="1" numFmtId="0" xfId="0" applyAlignment="1" applyBorder="1" applyFont="1">
      <alignment shrinkToFit="0" vertical="bottom" wrapText="1"/>
    </xf>
    <xf borderId="3" fillId="0" fontId="5" numFmtId="0" xfId="0" applyBorder="1" applyFont="1"/>
    <xf borderId="2" fillId="0" fontId="62" numFmtId="0" xfId="0" applyAlignment="1" applyBorder="1" applyFont="1">
      <alignment readingOrder="0"/>
    </xf>
    <xf borderId="117" fillId="14" fontId="31" numFmtId="0" xfId="0" applyAlignment="1" applyBorder="1" applyFont="1">
      <alignment readingOrder="0" vertical="center"/>
    </xf>
    <xf borderId="114" fillId="0" fontId="41" numFmtId="0" xfId="0" applyAlignment="1" applyBorder="1" applyFont="1">
      <alignment readingOrder="0" vertical="center"/>
    </xf>
    <xf borderId="116" fillId="0" fontId="62" numFmtId="0" xfId="0" applyAlignment="1" applyBorder="1" applyFont="1">
      <alignment readingOrder="0" vertical="center"/>
    </xf>
    <xf borderId="2" fillId="0" fontId="62" numFmtId="0" xfId="0" applyAlignment="1" applyBorder="1" applyFont="1">
      <alignment readingOrder="0" vertical="center"/>
    </xf>
    <xf borderId="117" fillId="14" fontId="31" numFmtId="0" xfId="0" applyAlignment="1" applyBorder="1" applyFont="1">
      <alignment readingOrder="0" shrinkToFit="0" vertical="center" wrapText="1"/>
    </xf>
    <xf borderId="112" fillId="0" fontId="5" numFmtId="0" xfId="0" applyAlignment="1" applyBorder="1" applyFont="1">
      <alignment readingOrder="0" shrinkToFit="0" vertical="center" wrapText="1"/>
    </xf>
    <xf borderId="113" fillId="0" fontId="5" numFmtId="0" xfId="0" applyAlignment="1" applyBorder="1" applyFont="1">
      <alignment readingOrder="0" shrinkToFit="0" vertical="center" wrapText="1"/>
    </xf>
    <xf borderId="114" fillId="0" fontId="5" numFmtId="0" xfId="0" applyAlignment="1" applyBorder="1" applyFont="1">
      <alignment readingOrder="0" shrinkToFit="0" vertical="center" wrapText="1"/>
    </xf>
    <xf borderId="116" fillId="0" fontId="5" numFmtId="0" xfId="0" applyAlignment="1" applyBorder="1" applyFont="1">
      <alignment readingOrder="0" shrinkToFit="0" vertical="center" wrapText="1"/>
    </xf>
    <xf borderId="2" fillId="0" fontId="63" numFmtId="0" xfId="0" applyAlignment="1" applyBorder="1" applyFont="1">
      <alignment readingOrder="0" vertical="center"/>
    </xf>
    <xf borderId="112" fillId="0" fontId="5" numFmtId="0" xfId="0" applyAlignment="1" applyBorder="1" applyFont="1">
      <alignment readingOrder="0" vertical="center"/>
    </xf>
    <xf borderId="113" fillId="0" fontId="5" numFmtId="0" xfId="0" applyAlignment="1" applyBorder="1" applyFont="1">
      <alignment readingOrder="0" vertical="center"/>
    </xf>
    <xf borderId="113" fillId="0" fontId="5" numFmtId="0" xfId="0" applyAlignment="1" applyBorder="1" applyFont="1">
      <alignment vertical="center"/>
    </xf>
    <xf borderId="114" fillId="0" fontId="5" numFmtId="0" xfId="0" applyAlignment="1" applyBorder="1" applyFont="1">
      <alignment readingOrder="0" vertical="center"/>
    </xf>
    <xf borderId="116" fillId="0" fontId="5" numFmtId="0" xfId="0" applyAlignment="1" applyBorder="1" applyFont="1">
      <alignment readingOrder="0" vertical="center"/>
    </xf>
    <xf borderId="112" fillId="0" fontId="64" numFmtId="0" xfId="0" applyAlignment="1" applyBorder="1" applyFont="1">
      <alignment readingOrder="0" shrinkToFit="0" vertical="center" wrapText="1"/>
    </xf>
    <xf borderId="113" fillId="0" fontId="64" numFmtId="0" xfId="0" applyAlignment="1" applyBorder="1" applyFont="1">
      <alignment readingOrder="0" shrinkToFit="0" vertical="center" wrapText="1"/>
    </xf>
    <xf borderId="113" fillId="9" fontId="15" numFmtId="0" xfId="0" applyAlignment="1" applyBorder="1" applyFont="1">
      <alignment horizontal="left" readingOrder="0" shrinkToFit="0" vertical="center" wrapText="1"/>
    </xf>
    <xf borderId="114" fillId="0" fontId="64" numFmtId="0" xfId="0" applyAlignment="1" applyBorder="1" applyFont="1">
      <alignment readingOrder="0" shrinkToFit="0" vertical="center" wrapText="1"/>
    </xf>
    <xf borderId="116" fillId="0" fontId="64" numFmtId="0" xfId="0" applyAlignment="1" applyBorder="1" applyFont="1">
      <alignment readingOrder="0" shrinkToFit="0" vertical="center" wrapText="1"/>
    </xf>
    <xf borderId="13" fillId="0" fontId="5" numFmtId="0" xfId="0" applyBorder="1" applyFont="1"/>
    <xf borderId="2" fillId="0" fontId="63" numFmtId="0" xfId="0" applyAlignment="1" applyBorder="1" applyFont="1">
      <alignment readingOrder="0"/>
    </xf>
    <xf borderId="10" fillId="0" fontId="65" numFmtId="0" xfId="0" applyAlignment="1" applyBorder="1" applyFont="1">
      <alignment readingOrder="0"/>
    </xf>
    <xf borderId="13" fillId="0" fontId="65" numFmtId="0" xfId="0" applyAlignment="1" applyBorder="1" applyFont="1">
      <alignment readingOrder="0"/>
    </xf>
    <xf borderId="11" fillId="0" fontId="65" numFmtId="0" xfId="0" applyAlignment="1" applyBorder="1" applyFont="1">
      <alignment readingOrder="0"/>
    </xf>
    <xf borderId="59" fillId="14" fontId="31" numFmtId="0" xfId="0" applyAlignment="1" applyBorder="1" applyFont="1">
      <alignment readingOrder="0" shrinkToFit="0" wrapText="1"/>
    </xf>
    <xf borderId="11" fillId="9" fontId="50" numFmtId="0" xfId="0" applyAlignment="1" applyBorder="1" applyFont="1">
      <alignment readingOrder="0"/>
    </xf>
    <xf borderId="112" fillId="9" fontId="50" numFmtId="0" xfId="0" applyAlignment="1" applyBorder="1" applyFont="1">
      <alignment readingOrder="0"/>
    </xf>
    <xf borderId="113" fillId="0" fontId="3" numFmtId="0" xfId="0" applyBorder="1" applyFont="1"/>
    <xf borderId="11" fillId="9" fontId="50" numFmtId="0" xfId="0" applyAlignment="1" applyBorder="1" applyFont="1">
      <alignment readingOrder="0" shrinkToFit="0" wrapText="1"/>
    </xf>
    <xf borderId="112" fillId="9" fontId="50" numFmtId="0" xfId="0" applyAlignment="1" applyBorder="1" applyFont="1">
      <alignment readingOrder="0" shrinkToFit="0" wrapText="1"/>
    </xf>
    <xf borderId="11" fillId="9" fontId="50" numFmtId="0" xfId="0" applyAlignment="1" applyBorder="1" applyFont="1">
      <alignment readingOrder="0" vertical="center"/>
    </xf>
    <xf borderId="112" fillId="9" fontId="50" numFmtId="0" xfId="0" applyAlignment="1" applyBorder="1" applyFont="1">
      <alignment readingOrder="0" vertical="center"/>
    </xf>
    <xf borderId="114" fillId="9" fontId="50" numFmtId="0" xfId="0" applyAlignment="1" applyBorder="1" applyFont="1">
      <alignment readingOrder="0"/>
    </xf>
    <xf borderId="115" fillId="0" fontId="3" numFmtId="0" xfId="0" applyBorder="1" applyFont="1"/>
    <xf borderId="116" fillId="0" fontId="3" numFmtId="0" xfId="0" applyBorder="1" applyFont="1"/>
    <xf borderId="11" fillId="0" fontId="27" numFmtId="0" xfId="0" applyAlignment="1" applyBorder="1" applyFont="1">
      <alignment readingOrder="0"/>
    </xf>
    <xf borderId="112" fillId="0" fontId="27" numFmtId="0" xfId="0" applyAlignment="1" applyBorder="1" applyFont="1">
      <alignment readingOrder="0"/>
    </xf>
    <xf borderId="11" fillId="0" fontId="41" numFmtId="0" xfId="0" applyAlignment="1" applyBorder="1" applyFont="1">
      <alignment readingOrder="0"/>
    </xf>
    <xf borderId="112" fillId="0" fontId="41" numFmtId="0" xfId="0" applyAlignment="1" applyBorder="1" applyFont="1">
      <alignment readingOrder="0"/>
    </xf>
    <xf borderId="114" fillId="0" fontId="27" numFmtId="0" xfId="0" applyAlignment="1" applyBorder="1" applyFont="1">
      <alignment readingOrder="0"/>
    </xf>
    <xf borderId="11" fillId="0" fontId="5" numFmtId="0" xfId="0" applyAlignment="1" applyBorder="1" applyFont="1">
      <alignment readingOrder="0" shrinkToFit="0" wrapText="1"/>
    </xf>
    <xf borderId="112" fillId="0" fontId="5" numFmtId="0" xfId="0" applyAlignment="1" applyBorder="1" applyFont="1">
      <alignment readingOrder="0" shrinkToFit="0" wrapText="1"/>
    </xf>
    <xf borderId="112" fillId="0" fontId="5" numFmtId="0" xfId="0" applyAlignment="1" applyBorder="1" applyFont="1">
      <alignment readingOrder="0"/>
    </xf>
    <xf borderId="114" fillId="0" fontId="5" numFmtId="0" xfId="0" applyAlignment="1" applyBorder="1" applyFont="1">
      <alignment readingOrder="0"/>
    </xf>
    <xf borderId="11" fillId="0" fontId="65" numFmtId="0" xfId="0" applyAlignment="1" applyBorder="1" applyFont="1">
      <alignment readingOrder="0" shrinkToFit="0" wrapText="1"/>
    </xf>
    <xf borderId="10" fillId="0" fontId="5" numFmtId="0" xfId="0" applyAlignment="1" applyBorder="1" applyFont="1">
      <alignment readingOrder="0"/>
    </xf>
    <xf borderId="2" fillId="0" fontId="5"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tradecommissioner.gc.ca/funding-financement/canexport/sme-pme/applicant-guide-requerant.aspx?lang=eng" TargetMode="External"/><Relationship Id="rId3" Type="http://schemas.openxmlformats.org/officeDocument/2006/relationships/drawing" Target="../drawings/drawing5.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www.exciteconference.com/" TargetMode="External"/><Relationship Id="rId3" Type="http://schemas.openxmlformats.org/officeDocument/2006/relationships/drawing" Target="../drawings/drawing7.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gr.gc.ca/eng/international-trade/trade-show-service/canada-pavilion-program/?id=1518440736899"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3.13"/>
    <col customWidth="1" min="2" max="2" width="11.25"/>
    <col customWidth="1" min="3" max="3" width="29.63"/>
    <col customWidth="1" min="4" max="4" width="10.75"/>
    <col customWidth="1" min="5" max="5" width="12.88"/>
    <col customWidth="1" min="6" max="6" width="14.25"/>
    <col customWidth="1" min="7" max="7" width="23.38"/>
    <col customWidth="1" min="8" max="8" width="27.25"/>
    <col customWidth="1" min="9" max="9" width="14.75"/>
  </cols>
  <sheetData>
    <row r="1">
      <c r="A1" s="1"/>
      <c r="B1" s="2"/>
      <c r="C1" s="2"/>
      <c r="D1" s="2"/>
      <c r="E1" s="2"/>
      <c r="F1" s="2"/>
      <c r="G1" s="3"/>
      <c r="H1" s="3"/>
      <c r="I1" s="3"/>
      <c r="J1" s="4"/>
    </row>
    <row r="2" ht="29.25" customHeight="1">
      <c r="A2" s="5"/>
      <c r="B2" s="6" t="s">
        <v>0</v>
      </c>
      <c r="C2" s="7"/>
      <c r="D2" s="7"/>
      <c r="E2" s="7"/>
      <c r="F2" s="8"/>
      <c r="G2" s="9"/>
      <c r="H2" s="10"/>
      <c r="I2" s="10"/>
      <c r="J2" s="11"/>
    </row>
    <row r="3">
      <c r="A3" s="12"/>
      <c r="B3" s="13" t="s">
        <v>1</v>
      </c>
      <c r="C3" s="7"/>
      <c r="D3" s="7"/>
      <c r="E3" s="7"/>
      <c r="F3" s="8"/>
      <c r="G3" s="14"/>
      <c r="H3" s="15"/>
      <c r="I3" s="15"/>
      <c r="J3" s="16"/>
    </row>
    <row r="4">
      <c r="A4" s="12"/>
      <c r="B4" s="17" t="s">
        <v>2</v>
      </c>
      <c r="F4" s="18"/>
      <c r="G4" s="19" t="s">
        <v>3</v>
      </c>
      <c r="H4" s="20"/>
      <c r="I4" s="21"/>
      <c r="J4" s="5"/>
    </row>
    <row r="5">
      <c r="A5" s="12"/>
      <c r="B5" s="17" t="s">
        <v>4</v>
      </c>
      <c r="F5" s="18"/>
      <c r="G5" s="22"/>
      <c r="H5" s="3"/>
      <c r="I5" s="3"/>
      <c r="J5" s="16"/>
    </row>
    <row r="6">
      <c r="A6" s="12"/>
      <c r="B6" s="17" t="s">
        <v>5</v>
      </c>
      <c r="F6" s="18"/>
      <c r="G6" s="23"/>
      <c r="H6" s="24"/>
      <c r="I6" s="24"/>
      <c r="J6" s="16"/>
    </row>
    <row r="7">
      <c r="A7" s="12"/>
      <c r="B7" s="25" t="s">
        <v>6</v>
      </c>
      <c r="C7" s="26"/>
      <c r="D7" s="26"/>
      <c r="E7" s="26"/>
      <c r="F7" s="27"/>
      <c r="G7" s="23"/>
      <c r="H7" s="24"/>
      <c r="I7" s="24"/>
      <c r="J7" s="16"/>
    </row>
    <row r="8">
      <c r="A8" s="23"/>
      <c r="B8" s="3"/>
      <c r="C8" s="3"/>
      <c r="D8" s="3"/>
      <c r="E8" s="3"/>
      <c r="F8" s="3"/>
      <c r="G8" s="24"/>
      <c r="H8" s="24"/>
      <c r="I8" s="24"/>
      <c r="J8" s="16"/>
    </row>
    <row r="9">
      <c r="A9" s="23"/>
      <c r="B9" s="15"/>
      <c r="C9" s="15"/>
      <c r="D9" s="15"/>
      <c r="E9" s="15"/>
      <c r="F9" s="15"/>
      <c r="G9" s="15"/>
      <c r="H9" s="15"/>
      <c r="I9" s="15"/>
      <c r="J9" s="16"/>
    </row>
    <row r="10">
      <c r="A10" s="5"/>
      <c r="B10" s="28" t="s">
        <v>7</v>
      </c>
      <c r="C10" s="29" t="s">
        <v>8</v>
      </c>
      <c r="D10" s="29" t="s">
        <v>9</v>
      </c>
      <c r="E10" s="29" t="s">
        <v>10</v>
      </c>
      <c r="F10" s="29" t="s">
        <v>11</v>
      </c>
      <c r="G10" s="29" t="s">
        <v>12</v>
      </c>
      <c r="H10" s="29" t="s">
        <v>13</v>
      </c>
      <c r="I10" s="30" t="s">
        <v>14</v>
      </c>
      <c r="J10" s="5"/>
    </row>
    <row r="11">
      <c r="A11" s="12"/>
      <c r="B11" s="31"/>
      <c r="C11" s="32"/>
      <c r="D11" s="33"/>
      <c r="E11" s="34"/>
      <c r="F11" s="34"/>
      <c r="G11" s="34"/>
      <c r="H11" s="34"/>
      <c r="I11" s="35"/>
      <c r="J11" s="12"/>
    </row>
    <row r="12">
      <c r="A12" s="12"/>
      <c r="B12" s="31"/>
      <c r="C12" s="32"/>
      <c r="D12" s="33"/>
      <c r="E12" s="34"/>
      <c r="F12" s="34"/>
      <c r="G12" s="34"/>
      <c r="H12" s="34"/>
      <c r="I12" s="35"/>
      <c r="J12" s="12"/>
    </row>
    <row r="13">
      <c r="A13" s="12"/>
      <c r="B13" s="31"/>
      <c r="C13" s="32"/>
      <c r="D13" s="33"/>
      <c r="E13" s="34"/>
      <c r="F13" s="34"/>
      <c r="G13" s="34"/>
      <c r="H13" s="34"/>
      <c r="I13" s="35"/>
      <c r="J13" s="12"/>
    </row>
    <row r="14">
      <c r="A14" s="12"/>
      <c r="B14" s="31"/>
      <c r="C14" s="32"/>
      <c r="D14" s="33"/>
      <c r="E14" s="34"/>
      <c r="F14" s="34"/>
      <c r="G14" s="34"/>
      <c r="H14" s="34"/>
      <c r="I14" s="35"/>
      <c r="J14" s="12"/>
    </row>
    <row r="15">
      <c r="A15" s="12"/>
      <c r="B15" s="31"/>
      <c r="C15" s="32"/>
      <c r="D15" s="33"/>
      <c r="E15" s="34"/>
      <c r="F15" s="34"/>
      <c r="G15" s="34"/>
      <c r="H15" s="34"/>
      <c r="I15" s="35"/>
      <c r="J15" s="12"/>
    </row>
    <row r="16">
      <c r="A16" s="12"/>
      <c r="B16" s="31"/>
      <c r="C16" s="32"/>
      <c r="D16" s="33"/>
      <c r="E16" s="34"/>
      <c r="F16" s="34"/>
      <c r="G16" s="34"/>
      <c r="H16" s="34"/>
      <c r="I16" s="35"/>
      <c r="J16" s="12"/>
    </row>
    <row r="17">
      <c r="A17" s="12"/>
      <c r="B17" s="31"/>
      <c r="C17" s="36"/>
      <c r="D17" s="33"/>
      <c r="E17" s="34"/>
      <c r="F17" s="34"/>
      <c r="G17" s="34"/>
      <c r="H17" s="34"/>
      <c r="I17" s="35"/>
      <c r="J17" s="12"/>
    </row>
    <row r="18">
      <c r="A18" s="12"/>
      <c r="B18" s="31"/>
      <c r="C18" s="36"/>
      <c r="D18" s="33"/>
      <c r="E18" s="34"/>
      <c r="F18" s="34"/>
      <c r="G18" s="34"/>
      <c r="H18" s="34"/>
      <c r="I18" s="35"/>
      <c r="J18" s="12"/>
    </row>
    <row r="19">
      <c r="A19" s="12"/>
      <c r="B19" s="37"/>
      <c r="C19" s="38"/>
      <c r="D19" s="39"/>
      <c r="E19" s="40"/>
      <c r="F19" s="40"/>
      <c r="G19" s="40"/>
      <c r="H19" s="40"/>
      <c r="I19" s="41"/>
      <c r="J19" s="12"/>
    </row>
    <row r="20">
      <c r="A20" s="23"/>
      <c r="B20" s="4"/>
      <c r="C20" s="42" t="s">
        <v>15</v>
      </c>
      <c r="D20" s="43">
        <f>SUM(D11:D19)</f>
        <v>0</v>
      </c>
      <c r="E20" s="1"/>
      <c r="F20" s="3"/>
      <c r="G20" s="3"/>
      <c r="H20" s="3"/>
      <c r="I20" s="3"/>
      <c r="J20" s="16"/>
    </row>
    <row r="21">
      <c r="A21" s="23"/>
      <c r="B21" s="24"/>
      <c r="C21" s="3"/>
      <c r="D21" s="3"/>
      <c r="E21" s="24"/>
      <c r="F21" s="24"/>
      <c r="G21" s="24"/>
      <c r="H21" s="24"/>
      <c r="I21" s="24"/>
      <c r="J21" s="16"/>
    </row>
    <row r="22">
      <c r="A22" s="23"/>
      <c r="B22" s="24"/>
      <c r="C22" s="15"/>
      <c r="D22" s="15"/>
      <c r="E22" s="24"/>
      <c r="F22" s="24"/>
      <c r="G22" s="24"/>
      <c r="H22" s="24"/>
      <c r="I22" s="24"/>
      <c r="J22" s="16"/>
    </row>
    <row r="23">
      <c r="A23" s="23"/>
      <c r="B23" s="16"/>
      <c r="C23" s="44" t="s">
        <v>16</v>
      </c>
      <c r="D23" s="45">
        <f>D24*2</f>
        <v>0</v>
      </c>
      <c r="E23" s="23"/>
      <c r="F23" s="24"/>
      <c r="G23" s="24"/>
      <c r="H23" s="24"/>
      <c r="I23" s="24"/>
      <c r="J23" s="16"/>
    </row>
    <row r="24">
      <c r="A24" s="23"/>
      <c r="B24" s="16"/>
      <c r="C24" s="46" t="s">
        <v>17</v>
      </c>
      <c r="D24" s="47">
        <v>0.0</v>
      </c>
      <c r="E24" s="23"/>
      <c r="F24" s="24"/>
      <c r="G24" s="24"/>
      <c r="H24" s="24"/>
      <c r="I24" s="24"/>
      <c r="J24" s="16"/>
    </row>
    <row r="25">
      <c r="A25" s="23"/>
      <c r="B25" s="24"/>
      <c r="C25" s="3"/>
      <c r="D25" s="3"/>
      <c r="E25" s="24"/>
      <c r="F25" s="24"/>
      <c r="G25" s="24"/>
      <c r="H25" s="24"/>
      <c r="I25" s="24"/>
      <c r="J25" s="16"/>
    </row>
  </sheetData>
  <mergeCells count="7">
    <mergeCell ref="B2:F2"/>
    <mergeCell ref="B3:F3"/>
    <mergeCell ref="B4:F4"/>
    <mergeCell ref="G4:I4"/>
    <mergeCell ref="B5:F5"/>
    <mergeCell ref="B6:F6"/>
    <mergeCell ref="B7:F7"/>
  </mergeCells>
  <dataValidations>
    <dataValidation type="list" allowBlank="1" sqref="E11:E19">
      <formula1>"Yes,No"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3.88"/>
    <col customWidth="1" min="2" max="3" width="17.38"/>
    <col customWidth="1" min="4" max="4" width="12.0"/>
    <col customWidth="1" min="5" max="5" width="11.0"/>
    <col customWidth="1" min="6" max="6" width="9.88"/>
    <col customWidth="1" min="8" max="8" width="9.0"/>
    <col customWidth="1" min="9" max="9" width="10.88"/>
    <col customWidth="1" min="10" max="10" width="37.0"/>
    <col customWidth="1" min="11" max="11" width="38.13"/>
  </cols>
  <sheetData>
    <row r="1" ht="21.75" customHeight="1">
      <c r="A1" s="1"/>
      <c r="B1" s="2"/>
      <c r="C1" s="2"/>
      <c r="D1" s="3"/>
      <c r="E1" s="3"/>
      <c r="F1" s="3"/>
      <c r="G1" s="3"/>
      <c r="H1" s="3"/>
      <c r="I1" s="3"/>
      <c r="J1" s="3"/>
      <c r="K1" s="3"/>
      <c r="L1" s="4"/>
    </row>
    <row r="2" ht="21.75" customHeight="1">
      <c r="A2" s="12"/>
      <c r="B2" s="48" t="s">
        <v>18</v>
      </c>
      <c r="C2" s="49"/>
      <c r="D2" s="24"/>
      <c r="E2" s="24"/>
      <c r="F2" s="24"/>
      <c r="G2" s="24"/>
      <c r="H2" s="24"/>
      <c r="I2" s="24"/>
      <c r="J2" s="24"/>
      <c r="K2" s="24"/>
      <c r="L2" s="16"/>
    </row>
    <row r="3" ht="21.75" customHeight="1">
      <c r="A3" s="12"/>
      <c r="B3" s="50" t="s">
        <v>19</v>
      </c>
      <c r="C3" s="51" t="s">
        <v>20</v>
      </c>
      <c r="D3" s="24"/>
      <c r="E3" s="24"/>
      <c r="F3" s="24"/>
      <c r="G3" s="24"/>
      <c r="H3" s="24"/>
      <c r="I3" s="24"/>
      <c r="J3" s="24"/>
      <c r="K3" s="24"/>
      <c r="L3" s="16"/>
    </row>
    <row r="4" ht="21.75" customHeight="1">
      <c r="A4" s="12"/>
      <c r="B4" s="52" t="s">
        <v>21</v>
      </c>
      <c r="C4" s="53" t="s">
        <v>22</v>
      </c>
      <c r="D4" s="24"/>
      <c r="E4" s="24"/>
      <c r="F4" s="24"/>
      <c r="G4" s="24"/>
      <c r="H4" s="24"/>
      <c r="I4" s="24"/>
      <c r="J4" s="24"/>
      <c r="K4" s="24"/>
      <c r="L4" s="16"/>
    </row>
    <row r="5" ht="21.75" customHeight="1">
      <c r="A5" s="12"/>
      <c r="B5" s="54" t="s">
        <v>23</v>
      </c>
      <c r="C5" s="55" t="s">
        <v>24</v>
      </c>
      <c r="D5" s="24"/>
      <c r="E5" s="24"/>
      <c r="F5" s="24"/>
      <c r="G5" s="24"/>
      <c r="H5" s="24"/>
      <c r="I5" s="24"/>
      <c r="J5" s="24"/>
      <c r="K5" s="24"/>
      <c r="L5" s="16"/>
    </row>
    <row r="6" ht="21.75" customHeight="1">
      <c r="A6" s="23"/>
      <c r="B6" s="2"/>
      <c r="C6" s="2"/>
      <c r="D6" s="15"/>
      <c r="E6" s="15"/>
      <c r="F6" s="15"/>
      <c r="G6" s="15"/>
      <c r="H6" s="15"/>
      <c r="I6" s="15"/>
      <c r="J6" s="15"/>
      <c r="K6" s="15"/>
      <c r="L6" s="16"/>
    </row>
    <row r="7">
      <c r="A7" s="12"/>
      <c r="B7" s="28" t="s">
        <v>11</v>
      </c>
      <c r="C7" s="29" t="s">
        <v>25</v>
      </c>
      <c r="D7" s="29" t="s">
        <v>26</v>
      </c>
      <c r="E7" s="29" t="s">
        <v>27</v>
      </c>
      <c r="F7" s="56" t="s">
        <v>28</v>
      </c>
      <c r="G7" s="29" t="s">
        <v>29</v>
      </c>
      <c r="H7" s="29" t="s">
        <v>30</v>
      </c>
      <c r="I7" s="29" t="s">
        <v>7</v>
      </c>
      <c r="J7" s="29" t="s">
        <v>31</v>
      </c>
      <c r="K7" s="30" t="s">
        <v>32</v>
      </c>
      <c r="L7" s="12"/>
    </row>
    <row r="8">
      <c r="A8" s="12"/>
      <c r="B8" s="57" t="s">
        <v>33</v>
      </c>
      <c r="C8" s="58" t="s">
        <v>34</v>
      </c>
      <c r="D8" s="59">
        <v>44197.0</v>
      </c>
      <c r="E8" s="60">
        <v>5000.0</v>
      </c>
      <c r="F8" s="60">
        <f t="shared" ref="F8:F22" si="1">E8*0.5</f>
        <v>2500</v>
      </c>
      <c r="G8" s="61" t="s">
        <v>35</v>
      </c>
      <c r="H8" s="61">
        <v>1.0</v>
      </c>
      <c r="I8" s="62" t="s">
        <v>36</v>
      </c>
      <c r="J8" s="63" t="s">
        <v>37</v>
      </c>
      <c r="K8" s="64" t="s">
        <v>38</v>
      </c>
      <c r="L8" s="12"/>
    </row>
    <row r="9">
      <c r="A9" s="12"/>
      <c r="B9" s="65"/>
      <c r="C9" s="66"/>
      <c r="D9" s="67"/>
      <c r="E9" s="68"/>
      <c r="F9" s="69">
        <f t="shared" si="1"/>
        <v>0</v>
      </c>
      <c r="G9" s="70"/>
      <c r="H9" s="71"/>
      <c r="I9" s="72"/>
      <c r="J9" s="73"/>
      <c r="K9" s="74"/>
      <c r="L9" s="12"/>
    </row>
    <row r="10">
      <c r="A10" s="12"/>
      <c r="B10" s="65"/>
      <c r="C10" s="66"/>
      <c r="D10" s="67"/>
      <c r="E10" s="68"/>
      <c r="F10" s="69">
        <f t="shared" si="1"/>
        <v>0</v>
      </c>
      <c r="G10" s="70"/>
      <c r="H10" s="71"/>
      <c r="I10" s="72"/>
      <c r="J10" s="73"/>
      <c r="K10" s="74"/>
      <c r="L10" s="12"/>
    </row>
    <row r="11">
      <c r="A11" s="12"/>
      <c r="B11" s="65"/>
      <c r="C11" s="66"/>
      <c r="D11" s="67"/>
      <c r="E11" s="68"/>
      <c r="F11" s="69">
        <f t="shared" si="1"/>
        <v>0</v>
      </c>
      <c r="G11" s="70"/>
      <c r="H11" s="71"/>
      <c r="I11" s="72"/>
      <c r="J11" s="73"/>
      <c r="K11" s="74"/>
      <c r="L11" s="12"/>
    </row>
    <row r="12">
      <c r="A12" s="12"/>
      <c r="B12" s="65"/>
      <c r="C12" s="66"/>
      <c r="D12" s="75"/>
      <c r="E12" s="68"/>
      <c r="F12" s="69">
        <f t="shared" si="1"/>
        <v>0</v>
      </c>
      <c r="G12" s="70"/>
      <c r="H12" s="76"/>
      <c r="I12" s="72"/>
      <c r="J12" s="73"/>
      <c r="K12" s="74"/>
      <c r="L12" s="12"/>
    </row>
    <row r="13">
      <c r="A13" s="12"/>
      <c r="B13" s="65"/>
      <c r="C13" s="66"/>
      <c r="D13" s="67"/>
      <c r="E13" s="68"/>
      <c r="F13" s="69">
        <f t="shared" si="1"/>
        <v>0</v>
      </c>
      <c r="G13" s="70"/>
      <c r="H13" s="71"/>
      <c r="I13" s="72"/>
      <c r="J13" s="73"/>
      <c r="K13" s="74"/>
      <c r="L13" s="12"/>
    </row>
    <row r="14">
      <c r="A14" s="12"/>
      <c r="B14" s="65"/>
      <c r="C14" s="66"/>
      <c r="D14" s="67"/>
      <c r="E14" s="68"/>
      <c r="F14" s="69">
        <f t="shared" si="1"/>
        <v>0</v>
      </c>
      <c r="G14" s="70"/>
      <c r="H14" s="71"/>
      <c r="I14" s="72"/>
      <c r="J14" s="73"/>
      <c r="K14" s="74"/>
      <c r="L14" s="12"/>
    </row>
    <row r="15">
      <c r="A15" s="12"/>
      <c r="B15" s="65"/>
      <c r="C15" s="66"/>
      <c r="D15" s="67"/>
      <c r="E15" s="68"/>
      <c r="F15" s="69">
        <f t="shared" si="1"/>
        <v>0</v>
      </c>
      <c r="G15" s="70"/>
      <c r="H15" s="71"/>
      <c r="I15" s="72"/>
      <c r="J15" s="73"/>
      <c r="K15" s="74"/>
      <c r="L15" s="12"/>
    </row>
    <row r="16">
      <c r="A16" s="12"/>
      <c r="B16" s="65"/>
      <c r="C16" s="66"/>
      <c r="D16" s="67"/>
      <c r="E16" s="68"/>
      <c r="F16" s="69">
        <f t="shared" si="1"/>
        <v>0</v>
      </c>
      <c r="G16" s="70"/>
      <c r="H16" s="71"/>
      <c r="I16" s="72"/>
      <c r="J16" s="73"/>
      <c r="K16" s="74"/>
      <c r="L16" s="12"/>
    </row>
    <row r="17">
      <c r="A17" s="12"/>
      <c r="B17" s="65"/>
      <c r="C17" s="66"/>
      <c r="D17" s="67"/>
      <c r="E17" s="68"/>
      <c r="F17" s="69">
        <f t="shared" si="1"/>
        <v>0</v>
      </c>
      <c r="G17" s="70"/>
      <c r="H17" s="71"/>
      <c r="I17" s="72"/>
      <c r="J17" s="73"/>
      <c r="K17" s="74"/>
      <c r="L17" s="12"/>
    </row>
    <row r="18">
      <c r="A18" s="12"/>
      <c r="B18" s="65"/>
      <c r="C18" s="66"/>
      <c r="D18" s="67"/>
      <c r="E18" s="68"/>
      <c r="F18" s="69">
        <f t="shared" si="1"/>
        <v>0</v>
      </c>
      <c r="G18" s="70"/>
      <c r="H18" s="71"/>
      <c r="I18" s="72"/>
      <c r="J18" s="73"/>
      <c r="K18" s="74"/>
      <c r="L18" s="12"/>
    </row>
    <row r="19">
      <c r="A19" s="12"/>
      <c r="B19" s="65"/>
      <c r="C19" s="66"/>
      <c r="D19" s="67"/>
      <c r="E19" s="68"/>
      <c r="F19" s="69">
        <f t="shared" si="1"/>
        <v>0</v>
      </c>
      <c r="G19" s="70"/>
      <c r="H19" s="71"/>
      <c r="I19" s="72"/>
      <c r="J19" s="73"/>
      <c r="K19" s="74"/>
      <c r="L19" s="12"/>
    </row>
    <row r="20">
      <c r="A20" s="12"/>
      <c r="B20" s="65"/>
      <c r="C20" s="66"/>
      <c r="D20" s="67"/>
      <c r="E20" s="68"/>
      <c r="F20" s="69">
        <f t="shared" si="1"/>
        <v>0</v>
      </c>
      <c r="G20" s="70"/>
      <c r="H20" s="71"/>
      <c r="I20" s="72"/>
      <c r="J20" s="73"/>
      <c r="K20" s="74"/>
      <c r="L20" s="12"/>
    </row>
    <row r="21">
      <c r="A21" s="12"/>
      <c r="B21" s="65"/>
      <c r="C21" s="66"/>
      <c r="D21" s="67"/>
      <c r="E21" s="68"/>
      <c r="F21" s="69">
        <f t="shared" si="1"/>
        <v>0</v>
      </c>
      <c r="G21" s="70"/>
      <c r="H21" s="71"/>
      <c r="I21" s="72"/>
      <c r="J21" s="73"/>
      <c r="K21" s="74"/>
      <c r="L21" s="12"/>
    </row>
    <row r="22">
      <c r="A22" s="12"/>
      <c r="B22" s="77"/>
      <c r="C22" s="78"/>
      <c r="D22" s="78"/>
      <c r="E22" s="79"/>
      <c r="F22" s="80">
        <f t="shared" si="1"/>
        <v>0</v>
      </c>
      <c r="G22" s="78"/>
      <c r="H22" s="81"/>
      <c r="I22" s="81"/>
      <c r="J22" s="82"/>
      <c r="K22" s="83"/>
      <c r="L22" s="12"/>
    </row>
    <row r="23">
      <c r="A23" s="23"/>
      <c r="B23" s="84"/>
      <c r="C23" s="84"/>
      <c r="D23" s="84"/>
      <c r="E23" s="85">
        <f t="shared" ref="E23:F23" si="2">SUM(E9:E22)</f>
        <v>0</v>
      </c>
      <c r="F23" s="86">
        <f t="shared" si="2"/>
        <v>0</v>
      </c>
      <c r="G23" s="1"/>
      <c r="H23" s="3"/>
      <c r="I23" s="3"/>
      <c r="J23" s="3"/>
      <c r="K23" s="3"/>
      <c r="L23" s="16"/>
    </row>
    <row r="24">
      <c r="A24" s="23"/>
      <c r="B24" s="87"/>
      <c r="C24" s="87"/>
      <c r="D24" s="87"/>
      <c r="E24" s="2"/>
      <c r="F24" s="2"/>
      <c r="G24" s="88"/>
      <c r="H24" s="15"/>
      <c r="I24" s="15"/>
      <c r="J24" s="24"/>
      <c r="K24" s="24"/>
      <c r="L24" s="16"/>
    </row>
    <row r="25">
      <c r="A25" s="12"/>
      <c r="B25" s="89" t="s">
        <v>39</v>
      </c>
      <c r="C25" s="90">
        <v>0.0</v>
      </c>
      <c r="D25" s="12"/>
      <c r="E25" s="91" t="s">
        <v>40</v>
      </c>
      <c r="F25" s="92">
        <v>0.0</v>
      </c>
      <c r="G25" s="93"/>
      <c r="H25" s="94" t="s">
        <v>41</v>
      </c>
      <c r="I25" s="95"/>
      <c r="J25" s="23"/>
      <c r="K25" s="24"/>
      <c r="L25" s="16"/>
    </row>
    <row r="26">
      <c r="A26" s="12"/>
      <c r="B26" s="96" t="s">
        <v>42</v>
      </c>
      <c r="C26" s="97">
        <v>0.0</v>
      </c>
      <c r="D26" s="12"/>
      <c r="E26" s="98" t="s">
        <v>43</v>
      </c>
      <c r="F26" s="99">
        <v>0.0</v>
      </c>
      <c r="G26" s="93"/>
      <c r="H26" s="100" t="s">
        <v>44</v>
      </c>
      <c r="I26" s="101"/>
      <c r="J26" s="23"/>
      <c r="K26" s="24"/>
      <c r="L26" s="16"/>
    </row>
    <row r="27">
      <c r="A27" s="12"/>
      <c r="B27" s="96" t="s">
        <v>45</v>
      </c>
      <c r="C27" s="102">
        <f>SUM(E9:E22)</f>
        <v>0</v>
      </c>
      <c r="D27" s="12"/>
      <c r="E27" s="103"/>
      <c r="F27" s="104"/>
      <c r="G27" s="93"/>
      <c r="H27" s="100" t="s">
        <v>46</v>
      </c>
      <c r="I27" s="105"/>
      <c r="J27" s="23"/>
      <c r="K27" s="24"/>
      <c r="L27" s="16"/>
    </row>
    <row r="28">
      <c r="A28" s="12"/>
      <c r="B28" s="106" t="s">
        <v>47</v>
      </c>
      <c r="C28" s="107">
        <f>C25-C27</f>
        <v>0</v>
      </c>
      <c r="D28" s="12"/>
      <c r="E28" s="108" t="s">
        <v>15</v>
      </c>
      <c r="F28" s="109">
        <f>SUM(F25:F26)</f>
        <v>0</v>
      </c>
      <c r="G28" s="93"/>
      <c r="H28" s="110" t="s">
        <v>48</v>
      </c>
      <c r="I28" s="111">
        <f>SUM(I25:I27)</f>
        <v>0</v>
      </c>
      <c r="J28" s="23"/>
      <c r="K28" s="24"/>
      <c r="L28" s="16"/>
    </row>
    <row r="29">
      <c r="A29" s="23"/>
      <c r="B29" s="3"/>
      <c r="C29" s="3"/>
      <c r="D29" s="3"/>
      <c r="E29" s="3"/>
      <c r="F29" s="3"/>
      <c r="G29" s="112"/>
      <c r="H29" s="3"/>
      <c r="I29" s="3"/>
      <c r="J29" s="24"/>
      <c r="K29" s="24"/>
      <c r="L29" s="16"/>
    </row>
    <row r="30">
      <c r="A30" s="14"/>
      <c r="B30" s="15"/>
      <c r="C30" s="15"/>
      <c r="D30" s="15"/>
      <c r="E30" s="15"/>
      <c r="F30" s="15"/>
      <c r="G30" s="15"/>
      <c r="H30" s="15"/>
      <c r="I30" s="15"/>
      <c r="J30" s="15"/>
      <c r="K30" s="15"/>
      <c r="L30" s="113"/>
    </row>
  </sheetData>
  <mergeCells count="1">
    <mergeCell ref="B2:C2"/>
  </mergeCells>
  <dataValidations>
    <dataValidation type="list" allowBlank="1" sqref="G8:G22">
      <formula1>"Pending,Received"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88"/>
    <col customWidth="1" min="2" max="10" width="12.0"/>
    <col customWidth="1" min="11" max="11" width="2.75"/>
  </cols>
  <sheetData>
    <row r="1" ht="30.75" customHeight="1">
      <c r="A1" s="114"/>
      <c r="B1" s="115" t="s">
        <v>49</v>
      </c>
      <c r="C1" s="116"/>
      <c r="D1" s="116"/>
      <c r="E1" s="116"/>
      <c r="F1" s="116"/>
      <c r="G1" s="116"/>
      <c r="H1" s="116"/>
      <c r="I1" s="116"/>
      <c r="J1" s="117"/>
      <c r="K1" s="118"/>
    </row>
    <row r="2">
      <c r="A2" s="119"/>
      <c r="B2" s="120" t="s">
        <v>50</v>
      </c>
      <c r="C2" s="121"/>
      <c r="D2" s="121"/>
      <c r="E2" s="121"/>
      <c r="F2" s="121"/>
      <c r="G2" s="121"/>
      <c r="H2" s="121"/>
      <c r="I2" s="121"/>
      <c r="J2" s="122"/>
      <c r="K2" s="123"/>
    </row>
    <row r="3" ht="7.5" customHeight="1">
      <c r="A3" s="124"/>
      <c r="B3" s="125"/>
      <c r="J3" s="126"/>
      <c r="K3" s="123"/>
    </row>
    <row r="4">
      <c r="A4" s="119"/>
      <c r="B4" s="120" t="s">
        <v>51</v>
      </c>
      <c r="C4" s="121"/>
      <c r="D4" s="121"/>
      <c r="E4" s="121"/>
      <c r="F4" s="121"/>
      <c r="G4" s="121"/>
      <c r="H4" s="121"/>
      <c r="I4" s="121"/>
      <c r="J4" s="122"/>
      <c r="K4" s="127"/>
    </row>
    <row r="5">
      <c r="A5" s="119"/>
      <c r="B5" s="128" t="s">
        <v>52</v>
      </c>
      <c r="C5" s="129"/>
      <c r="D5" s="129"/>
      <c r="E5" s="129"/>
      <c r="F5" s="129"/>
      <c r="G5" s="129"/>
      <c r="H5" s="129"/>
      <c r="I5" s="129"/>
      <c r="J5" s="130"/>
      <c r="K5" s="126"/>
    </row>
    <row r="6">
      <c r="A6" s="119"/>
      <c r="B6" s="131" t="s">
        <v>53</v>
      </c>
      <c r="C6" s="132"/>
      <c r="D6" s="132"/>
      <c r="E6" s="132"/>
      <c r="F6" s="132"/>
      <c r="G6" s="132"/>
      <c r="H6" s="132"/>
      <c r="I6" s="132"/>
      <c r="J6" s="133"/>
      <c r="K6" s="126"/>
    </row>
    <row r="7">
      <c r="A7" s="119"/>
      <c r="B7" s="131" t="s">
        <v>54</v>
      </c>
      <c r="C7" s="132"/>
      <c r="D7" s="132"/>
      <c r="E7" s="132"/>
      <c r="F7" s="132"/>
      <c r="G7" s="132"/>
      <c r="H7" s="132"/>
      <c r="I7" s="132"/>
      <c r="J7" s="133"/>
      <c r="K7" s="126"/>
    </row>
    <row r="8">
      <c r="A8" s="119"/>
      <c r="B8" s="134" t="s">
        <v>55</v>
      </c>
      <c r="C8" s="135"/>
      <c r="D8" s="135"/>
      <c r="E8" s="135"/>
      <c r="F8" s="135"/>
      <c r="G8" s="135"/>
      <c r="H8" s="135"/>
      <c r="I8" s="135"/>
      <c r="J8" s="136"/>
      <c r="K8" s="137"/>
    </row>
    <row r="9" ht="7.5" customHeight="1">
      <c r="A9" s="119"/>
      <c r="B9" s="138"/>
      <c r="J9" s="126"/>
      <c r="K9" s="139"/>
    </row>
    <row r="10">
      <c r="A10" s="119"/>
      <c r="B10" s="120" t="s">
        <v>56</v>
      </c>
      <c r="C10" s="121"/>
      <c r="D10" s="121"/>
      <c r="E10" s="121"/>
      <c r="F10" s="121"/>
      <c r="G10" s="121"/>
      <c r="H10" s="121"/>
      <c r="I10" s="121"/>
      <c r="J10" s="122"/>
      <c r="K10" s="123"/>
    </row>
    <row r="11">
      <c r="A11" s="119"/>
      <c r="B11" s="140" t="s">
        <v>57</v>
      </c>
      <c r="C11" s="129"/>
      <c r="D11" s="129"/>
      <c r="E11" s="129"/>
      <c r="F11" s="129"/>
      <c r="G11" s="129"/>
      <c r="H11" s="129"/>
      <c r="I11" s="129"/>
      <c r="J11" s="130"/>
      <c r="K11" s="123"/>
    </row>
    <row r="12">
      <c r="A12" s="119"/>
      <c r="B12" s="141" t="s">
        <v>58</v>
      </c>
      <c r="C12" s="132"/>
      <c r="D12" s="132"/>
      <c r="E12" s="132"/>
      <c r="F12" s="132"/>
      <c r="G12" s="132"/>
      <c r="H12" s="132"/>
      <c r="I12" s="132"/>
      <c r="J12" s="133"/>
      <c r="K12" s="123"/>
    </row>
    <row r="13">
      <c r="A13" s="119"/>
      <c r="B13" s="142" t="s">
        <v>59</v>
      </c>
      <c r="C13" s="132"/>
      <c r="D13" s="132"/>
      <c r="E13" s="132"/>
      <c r="F13" s="132"/>
      <c r="G13" s="132"/>
      <c r="H13" s="132"/>
      <c r="I13" s="132"/>
      <c r="J13" s="133"/>
      <c r="K13" s="123"/>
    </row>
    <row r="14">
      <c r="A14" s="119"/>
      <c r="B14" s="134" t="s">
        <v>60</v>
      </c>
      <c r="C14" s="135"/>
      <c r="D14" s="135"/>
      <c r="E14" s="135"/>
      <c r="F14" s="135"/>
      <c r="G14" s="135"/>
      <c r="H14" s="135"/>
      <c r="I14" s="135"/>
      <c r="J14" s="136"/>
      <c r="K14" s="123"/>
    </row>
    <row r="15" ht="7.5" customHeight="1">
      <c r="A15" s="119"/>
      <c r="B15" s="138"/>
      <c r="J15" s="126"/>
      <c r="K15" s="139"/>
    </row>
    <row r="16">
      <c r="A16" s="119"/>
      <c r="B16" s="120" t="s">
        <v>61</v>
      </c>
      <c r="C16" s="121"/>
      <c r="D16" s="121"/>
      <c r="E16" s="121"/>
      <c r="F16" s="121"/>
      <c r="G16" s="121"/>
      <c r="H16" s="121"/>
      <c r="I16" s="121"/>
      <c r="J16" s="122"/>
      <c r="K16" s="123"/>
    </row>
    <row r="17">
      <c r="A17" s="119"/>
      <c r="B17" s="140" t="s">
        <v>62</v>
      </c>
      <c r="C17" s="129"/>
      <c r="D17" s="129"/>
      <c r="E17" s="129"/>
      <c r="F17" s="129"/>
      <c r="G17" s="129"/>
      <c r="H17" s="129"/>
      <c r="I17" s="129"/>
      <c r="J17" s="130"/>
      <c r="K17" s="123"/>
    </row>
    <row r="18">
      <c r="A18" s="119"/>
      <c r="B18" s="143" t="s">
        <v>63</v>
      </c>
      <c r="C18" s="135"/>
      <c r="D18" s="135"/>
      <c r="E18" s="135"/>
      <c r="F18" s="135"/>
      <c r="G18" s="135"/>
      <c r="H18" s="135"/>
      <c r="I18" s="135"/>
      <c r="J18" s="136"/>
      <c r="K18" s="123"/>
    </row>
    <row r="19" ht="15.75" customHeight="1">
      <c r="A19" s="119"/>
      <c r="B19" s="138"/>
      <c r="J19" s="126"/>
      <c r="K19" s="139"/>
    </row>
    <row r="20">
      <c r="A20" s="119"/>
      <c r="B20" s="144" t="s">
        <v>64</v>
      </c>
      <c r="C20" s="145"/>
      <c r="D20" s="145"/>
      <c r="E20" s="145"/>
      <c r="F20" s="145"/>
      <c r="G20" s="145"/>
      <c r="H20" s="145"/>
      <c r="I20" s="145"/>
      <c r="J20" s="146"/>
      <c r="K20" s="127"/>
    </row>
    <row r="21" ht="7.5" customHeight="1">
      <c r="A21" s="124"/>
      <c r="B21" s="125"/>
      <c r="J21" s="126"/>
      <c r="K21" s="126"/>
    </row>
    <row r="22">
      <c r="A22" s="119"/>
      <c r="B22" s="147" t="s">
        <v>65</v>
      </c>
      <c r="C22" s="148"/>
      <c r="D22" s="148"/>
      <c r="E22" s="148"/>
      <c r="F22" s="148"/>
      <c r="G22" s="148"/>
      <c r="H22" s="148"/>
      <c r="I22" s="148"/>
      <c r="J22" s="149"/>
      <c r="K22" s="137"/>
    </row>
    <row r="23">
      <c r="A23" s="119"/>
      <c r="B23" s="150" t="s">
        <v>66</v>
      </c>
      <c r="C23" s="151"/>
      <c r="D23" s="151"/>
      <c r="E23" s="151"/>
      <c r="F23" s="151"/>
      <c r="G23" s="151"/>
      <c r="H23" s="151"/>
      <c r="I23" s="151"/>
      <c r="J23" s="152"/>
      <c r="K23" s="153"/>
    </row>
    <row r="24">
      <c r="A24" s="119"/>
      <c r="B24" s="154" t="s">
        <v>67</v>
      </c>
      <c r="C24" s="155"/>
      <c r="D24" s="155"/>
      <c r="E24" s="155"/>
      <c r="F24" s="155"/>
      <c r="G24" s="155"/>
      <c r="H24" s="155"/>
      <c r="I24" s="155"/>
      <c r="J24" s="156"/>
      <c r="K24" s="153"/>
    </row>
    <row r="25">
      <c r="A25" s="124"/>
      <c r="B25" s="125"/>
      <c r="J25" s="126"/>
      <c r="K25" s="123"/>
    </row>
    <row r="26">
      <c r="A26" s="119"/>
      <c r="B26" s="157" t="s">
        <v>68</v>
      </c>
      <c r="C26" s="158"/>
      <c r="D26" s="158"/>
      <c r="E26" s="158"/>
      <c r="F26" s="158"/>
      <c r="G26" s="158"/>
      <c r="H26" s="158"/>
      <c r="I26" s="158"/>
      <c r="J26" s="159"/>
      <c r="K26" s="123"/>
    </row>
    <row r="27" ht="7.5" customHeight="1">
      <c r="A27" s="124"/>
      <c r="B27" s="125"/>
      <c r="J27" s="126"/>
      <c r="K27" s="123"/>
    </row>
    <row r="28">
      <c r="A28" s="119"/>
      <c r="B28" s="160" t="s">
        <v>69</v>
      </c>
      <c r="C28" s="161"/>
      <c r="D28" s="161"/>
      <c r="E28" s="161"/>
      <c r="F28" s="161"/>
      <c r="G28" s="161"/>
      <c r="H28" s="161"/>
      <c r="I28" s="161"/>
      <c r="J28" s="162"/>
      <c r="K28" s="123"/>
    </row>
    <row r="29">
      <c r="A29" s="119"/>
      <c r="B29" s="163" t="s">
        <v>70</v>
      </c>
      <c r="C29" s="164"/>
      <c r="D29" s="164"/>
      <c r="E29" s="164"/>
      <c r="F29" s="164"/>
      <c r="G29" s="164"/>
      <c r="H29" s="164"/>
      <c r="I29" s="164"/>
      <c r="J29" s="165"/>
      <c r="K29" s="123"/>
    </row>
    <row r="30">
      <c r="A30" s="119"/>
      <c r="B30" s="166" t="s">
        <v>71</v>
      </c>
      <c r="C30" s="167"/>
      <c r="D30" s="167"/>
      <c r="E30" s="167"/>
      <c r="F30" s="167"/>
      <c r="G30" s="167"/>
      <c r="H30" s="167"/>
      <c r="I30" s="167"/>
      <c r="J30" s="168"/>
      <c r="K30" s="123"/>
    </row>
    <row r="31">
      <c r="A31" s="169"/>
      <c r="B31" s="170"/>
      <c r="C31" s="171"/>
      <c r="D31" s="171"/>
      <c r="E31" s="171"/>
      <c r="F31" s="171"/>
      <c r="G31" s="171"/>
      <c r="H31" s="171"/>
      <c r="I31" s="171"/>
      <c r="J31" s="137"/>
      <c r="K31" s="169"/>
    </row>
  </sheetData>
  <mergeCells count="33">
    <mergeCell ref="B1:J1"/>
    <mergeCell ref="B2:J2"/>
    <mergeCell ref="B3:J3"/>
    <mergeCell ref="B4:J4"/>
    <mergeCell ref="K4:K8"/>
    <mergeCell ref="B5:J5"/>
    <mergeCell ref="B6:J6"/>
    <mergeCell ref="B7:J7"/>
    <mergeCell ref="B8:J8"/>
    <mergeCell ref="B9:J9"/>
    <mergeCell ref="B10:J10"/>
    <mergeCell ref="B11:J11"/>
    <mergeCell ref="B12:J12"/>
    <mergeCell ref="B13:J13"/>
    <mergeCell ref="B20:J20"/>
    <mergeCell ref="B21:J21"/>
    <mergeCell ref="B14:J14"/>
    <mergeCell ref="B15:J15"/>
    <mergeCell ref="B16:J16"/>
    <mergeCell ref="B17:J17"/>
    <mergeCell ref="B18:J18"/>
    <mergeCell ref="B19:J19"/>
    <mergeCell ref="K20:K22"/>
    <mergeCell ref="B29:J29"/>
    <mergeCell ref="B30:J30"/>
    <mergeCell ref="B31:J31"/>
    <mergeCell ref="B22:J22"/>
    <mergeCell ref="B23:J23"/>
    <mergeCell ref="B24:J24"/>
    <mergeCell ref="B25:J25"/>
    <mergeCell ref="B26:J26"/>
    <mergeCell ref="B27:J27"/>
    <mergeCell ref="B28:J2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outlineLevelRow="2"/>
  <cols>
    <col customWidth="1" min="1" max="1" width="3.5"/>
    <col customWidth="1" min="2" max="2" width="13.63"/>
    <col customWidth="1" min="3" max="3" width="37.63"/>
    <col customWidth="1" min="4" max="4" width="26.63"/>
    <col customWidth="1" min="5" max="5" width="3.38"/>
  </cols>
  <sheetData>
    <row r="1" ht="21.0" customHeight="1">
      <c r="A1" s="172"/>
      <c r="B1" s="173"/>
      <c r="C1" s="173"/>
      <c r="D1" s="174"/>
      <c r="E1" s="172"/>
    </row>
    <row r="2" ht="26.25" customHeight="1">
      <c r="A2" s="175"/>
      <c r="B2" s="176" t="s">
        <v>72</v>
      </c>
      <c r="C2" s="21"/>
      <c r="D2" s="177" t="s">
        <v>73</v>
      </c>
      <c r="E2" s="178"/>
    </row>
    <row r="3">
      <c r="A3" s="175"/>
      <c r="B3" s="173"/>
      <c r="C3" s="179"/>
      <c r="D3" s="180">
        <f>C12+C26+C39+C50+C69+SUM(C71:C104)+SUM(C106:C156)+SUM(C158:C171)+SUM(C173:C175)+SUM(C177:C231)</f>
        <v>0</v>
      </c>
      <c r="E3" s="178"/>
    </row>
    <row r="4" ht="27.75" customHeight="1">
      <c r="A4" s="175"/>
      <c r="B4" s="181" t="s">
        <v>74</v>
      </c>
      <c r="C4" s="21"/>
      <c r="D4" s="182" t="s">
        <v>75</v>
      </c>
      <c r="E4" s="178"/>
    </row>
    <row r="5" ht="21.75" customHeight="1">
      <c r="A5" s="175"/>
      <c r="B5" s="183" t="s">
        <v>76</v>
      </c>
      <c r="C5" s="117"/>
      <c r="D5" s="184">
        <f>D12+D26+D39+D50+D69+SUM(D71:D104)+SUM(D106:D156)+SUM(D158:D171)+SUM(D173:D175)+SUM(D177:D231)</f>
        <v>0</v>
      </c>
      <c r="E5" s="178"/>
    </row>
    <row r="6" ht="58.5" customHeight="1">
      <c r="A6" s="173"/>
      <c r="B6" s="185"/>
      <c r="C6" s="137"/>
      <c r="D6" s="182" t="s">
        <v>77</v>
      </c>
      <c r="E6" s="186"/>
    </row>
    <row r="7" ht="15.0" customHeight="1">
      <c r="A7" s="173"/>
      <c r="B7" s="187" t="s">
        <v>78</v>
      </c>
      <c r="C7" s="21"/>
      <c r="D7" s="188" t="s">
        <v>79</v>
      </c>
      <c r="E7" s="178"/>
    </row>
    <row r="8" ht="15.0" customHeight="1">
      <c r="A8" s="173"/>
      <c r="B8" s="189" t="b">
        <v>0</v>
      </c>
      <c r="C8" s="187" t="s">
        <v>80</v>
      </c>
      <c r="D8" s="190" t="s">
        <v>81</v>
      </c>
      <c r="E8" s="178"/>
    </row>
    <row r="9" ht="15.0" customHeight="1">
      <c r="A9" s="173"/>
      <c r="B9" s="189" t="b">
        <v>0</v>
      </c>
      <c r="C9" s="187" t="s">
        <v>82</v>
      </c>
      <c r="D9" s="188" t="s">
        <v>79</v>
      </c>
      <c r="E9" s="178"/>
    </row>
    <row r="10" ht="9.75" customHeight="1">
      <c r="A10" s="173"/>
      <c r="B10" s="191"/>
      <c r="C10" s="191"/>
      <c r="D10" s="192"/>
      <c r="E10" s="186"/>
    </row>
    <row r="11">
      <c r="A11" s="179"/>
      <c r="B11" s="193" t="s">
        <v>83</v>
      </c>
      <c r="C11" s="194" t="s">
        <v>84</v>
      </c>
      <c r="D11" s="194" t="s">
        <v>85</v>
      </c>
      <c r="E11" s="178"/>
    </row>
    <row r="12" outlineLevel="1">
      <c r="A12" s="195"/>
      <c r="B12" s="196" t="s">
        <v>86</v>
      </c>
      <c r="C12" s="197">
        <f>SUM(C13:C25)</f>
        <v>0</v>
      </c>
      <c r="D12" s="198">
        <f>sum(D13:D25)</f>
        <v>0</v>
      </c>
      <c r="E12" s="178"/>
    </row>
    <row r="13" outlineLevel="2">
      <c r="A13" s="179"/>
      <c r="B13" s="199" t="s">
        <v>87</v>
      </c>
      <c r="C13" s="200"/>
      <c r="D13" s="201"/>
      <c r="E13" s="178"/>
    </row>
    <row r="14" outlineLevel="2">
      <c r="A14" s="179"/>
      <c r="B14" s="199" t="s">
        <v>88</v>
      </c>
      <c r="C14" s="202"/>
      <c r="D14" s="201"/>
      <c r="E14" s="178"/>
    </row>
    <row r="15" outlineLevel="2">
      <c r="A15" s="179"/>
      <c r="B15" s="199" t="s">
        <v>89</v>
      </c>
      <c r="C15" s="200"/>
      <c r="D15" s="201"/>
      <c r="E15" s="178"/>
    </row>
    <row r="16" outlineLevel="2">
      <c r="A16" s="179"/>
      <c r="B16" s="199" t="s">
        <v>90</v>
      </c>
      <c r="C16" s="200"/>
      <c r="D16" s="201"/>
      <c r="E16" s="178"/>
    </row>
    <row r="17" outlineLevel="2">
      <c r="A17" s="179"/>
      <c r="B17" s="199" t="s">
        <v>91</v>
      </c>
      <c r="C17" s="202"/>
      <c r="D17" s="201"/>
      <c r="E17" s="178"/>
    </row>
    <row r="18" outlineLevel="2">
      <c r="A18" s="179"/>
      <c r="B18" s="199" t="s">
        <v>92</v>
      </c>
      <c r="C18" s="200"/>
      <c r="D18" s="203"/>
      <c r="E18" s="178"/>
    </row>
    <row r="19" outlineLevel="2">
      <c r="A19" s="179"/>
      <c r="B19" s="199" t="s">
        <v>93</v>
      </c>
      <c r="C19" s="200"/>
      <c r="D19" s="201"/>
      <c r="E19" s="178"/>
    </row>
    <row r="20" outlineLevel="2">
      <c r="A20" s="179"/>
      <c r="B20" s="199" t="s">
        <v>94</v>
      </c>
      <c r="C20" s="200"/>
      <c r="D20" s="201"/>
      <c r="E20" s="178"/>
    </row>
    <row r="21" outlineLevel="2">
      <c r="A21" s="179"/>
      <c r="B21" s="199" t="s">
        <v>95</v>
      </c>
      <c r="C21" s="200"/>
      <c r="D21" s="201"/>
      <c r="E21" s="178"/>
    </row>
    <row r="22" outlineLevel="2">
      <c r="A22" s="179"/>
      <c r="B22" s="199" t="s">
        <v>96</v>
      </c>
      <c r="C22" s="200"/>
      <c r="D22" s="201"/>
      <c r="E22" s="178"/>
    </row>
    <row r="23" outlineLevel="2">
      <c r="A23" s="179"/>
      <c r="B23" s="199" t="s">
        <v>97</v>
      </c>
      <c r="C23" s="200"/>
      <c r="D23" s="201"/>
      <c r="E23" s="178"/>
    </row>
    <row r="24" outlineLevel="2">
      <c r="A24" s="179"/>
      <c r="B24" s="199" t="s">
        <v>98</v>
      </c>
      <c r="C24" s="200"/>
      <c r="D24" s="201"/>
      <c r="E24" s="178"/>
    </row>
    <row r="25" outlineLevel="2">
      <c r="A25" s="179"/>
      <c r="B25" s="204" t="s">
        <v>99</v>
      </c>
      <c r="C25" s="200"/>
      <c r="D25" s="201"/>
      <c r="E25" s="178"/>
    </row>
    <row r="26" outlineLevel="1">
      <c r="A26" s="195"/>
      <c r="B26" s="196" t="s">
        <v>100</v>
      </c>
      <c r="C26" s="205">
        <f>SUM(C27:C38)</f>
        <v>0</v>
      </c>
      <c r="D26" s="206">
        <f>sum(D27:D38)</f>
        <v>0</v>
      </c>
      <c r="E26" s="178"/>
    </row>
    <row r="27" outlineLevel="2">
      <c r="A27" s="179"/>
      <c r="B27" s="199" t="s">
        <v>101</v>
      </c>
      <c r="C27" s="200"/>
      <c r="D27" s="201"/>
      <c r="E27" s="178"/>
    </row>
    <row r="28" outlineLevel="2">
      <c r="A28" s="179"/>
      <c r="B28" s="199" t="s">
        <v>102</v>
      </c>
      <c r="C28" s="202"/>
      <c r="D28" s="201"/>
      <c r="E28" s="178"/>
    </row>
    <row r="29" outlineLevel="2">
      <c r="A29" s="179"/>
      <c r="B29" s="199" t="s">
        <v>103</v>
      </c>
      <c r="C29" s="200"/>
      <c r="D29" s="201"/>
      <c r="E29" s="178"/>
    </row>
    <row r="30" outlineLevel="2">
      <c r="A30" s="179"/>
      <c r="B30" s="199" t="s">
        <v>104</v>
      </c>
      <c r="C30" s="200"/>
      <c r="D30" s="201"/>
      <c r="E30" s="178"/>
    </row>
    <row r="31" outlineLevel="2">
      <c r="A31" s="179"/>
      <c r="B31" s="199" t="s">
        <v>105</v>
      </c>
      <c r="C31" s="200"/>
      <c r="D31" s="201"/>
      <c r="E31" s="178"/>
    </row>
    <row r="32" outlineLevel="2">
      <c r="A32" s="179"/>
      <c r="B32" s="199" t="s">
        <v>106</v>
      </c>
      <c r="C32" s="200"/>
      <c r="D32" s="201"/>
      <c r="E32" s="178"/>
    </row>
    <row r="33" outlineLevel="2">
      <c r="A33" s="179"/>
      <c r="B33" s="199" t="s">
        <v>107</v>
      </c>
      <c r="C33" s="200"/>
      <c r="D33" s="201"/>
      <c r="E33" s="178"/>
    </row>
    <row r="34" outlineLevel="2">
      <c r="A34" s="179"/>
      <c r="B34" s="199" t="s">
        <v>108</v>
      </c>
      <c r="C34" s="200"/>
      <c r="D34" s="201"/>
      <c r="E34" s="178"/>
    </row>
    <row r="35" outlineLevel="2">
      <c r="A35" s="179"/>
      <c r="B35" s="199" t="s">
        <v>109</v>
      </c>
      <c r="C35" s="200"/>
      <c r="D35" s="201"/>
      <c r="E35" s="178"/>
    </row>
    <row r="36" outlineLevel="2">
      <c r="A36" s="179"/>
      <c r="B36" s="199" t="s">
        <v>110</v>
      </c>
      <c r="C36" s="200"/>
      <c r="D36" s="201"/>
      <c r="E36" s="178"/>
    </row>
    <row r="37" outlineLevel="2">
      <c r="A37" s="179"/>
      <c r="B37" s="199" t="s">
        <v>111</v>
      </c>
      <c r="C37" s="200"/>
      <c r="D37" s="201"/>
      <c r="E37" s="178"/>
    </row>
    <row r="38" outlineLevel="2">
      <c r="A38" s="179"/>
      <c r="B38" s="199" t="s">
        <v>112</v>
      </c>
      <c r="C38" s="200"/>
      <c r="D38" s="201"/>
      <c r="E38" s="178"/>
    </row>
    <row r="39" outlineLevel="1">
      <c r="A39" s="195"/>
      <c r="B39" s="207" t="s">
        <v>113</v>
      </c>
      <c r="C39" s="205">
        <f>SUM(C40:C49)</f>
        <v>0</v>
      </c>
      <c r="D39" s="206">
        <f>sum(D40:D49)</f>
        <v>0</v>
      </c>
      <c r="E39" s="178"/>
    </row>
    <row r="40" outlineLevel="2">
      <c r="A40" s="179"/>
      <c r="B40" s="199" t="s">
        <v>114</v>
      </c>
      <c r="C40" s="200"/>
      <c r="D40" s="201"/>
      <c r="E40" s="178"/>
    </row>
    <row r="41" outlineLevel="2">
      <c r="A41" s="179"/>
      <c r="B41" s="199" t="s">
        <v>115</v>
      </c>
      <c r="C41" s="200"/>
      <c r="D41" s="201"/>
      <c r="E41" s="178"/>
    </row>
    <row r="42" outlineLevel="2">
      <c r="A42" s="179"/>
      <c r="B42" s="199" t="s">
        <v>116</v>
      </c>
      <c r="C42" s="200"/>
      <c r="D42" s="201"/>
      <c r="E42" s="178"/>
    </row>
    <row r="43" outlineLevel="2">
      <c r="A43" s="179"/>
      <c r="B43" s="199" t="s">
        <v>117</v>
      </c>
      <c r="C43" s="200"/>
      <c r="D43" s="201"/>
      <c r="E43" s="178"/>
    </row>
    <row r="44" outlineLevel="2">
      <c r="A44" s="179"/>
      <c r="B44" s="199" t="s">
        <v>118</v>
      </c>
      <c r="C44" s="200"/>
      <c r="D44" s="201"/>
      <c r="E44" s="178"/>
    </row>
    <row r="45" outlineLevel="2">
      <c r="A45" s="179"/>
      <c r="B45" s="199" t="s">
        <v>119</v>
      </c>
      <c r="C45" s="200"/>
      <c r="D45" s="201"/>
      <c r="E45" s="178"/>
    </row>
    <row r="46" outlineLevel="2">
      <c r="A46" s="179"/>
      <c r="B46" s="199" t="s">
        <v>120</v>
      </c>
      <c r="C46" s="200"/>
      <c r="D46" s="201"/>
      <c r="E46" s="178"/>
    </row>
    <row r="47" outlineLevel="2">
      <c r="A47" s="179"/>
      <c r="B47" s="199" t="s">
        <v>121</v>
      </c>
      <c r="C47" s="200"/>
      <c r="D47" s="201"/>
      <c r="E47" s="178"/>
    </row>
    <row r="48" outlineLevel="2">
      <c r="A48" s="179"/>
      <c r="B48" s="199" t="s">
        <v>122</v>
      </c>
      <c r="C48" s="200"/>
      <c r="D48" s="201"/>
      <c r="E48" s="178"/>
    </row>
    <row r="49" outlineLevel="2">
      <c r="A49" s="179"/>
      <c r="B49" s="199" t="s">
        <v>123</v>
      </c>
      <c r="C49" s="200"/>
      <c r="D49" s="201"/>
      <c r="E49" s="178"/>
    </row>
    <row r="50" outlineLevel="1">
      <c r="A50" s="195"/>
      <c r="B50" s="207" t="s">
        <v>124</v>
      </c>
      <c r="C50" s="205">
        <f>SUM(C51:C68)</f>
        <v>0</v>
      </c>
      <c r="D50" s="206">
        <f>sum(D51:D68)</f>
        <v>0</v>
      </c>
      <c r="E50" s="178"/>
    </row>
    <row r="51" outlineLevel="2">
      <c r="A51" s="179"/>
      <c r="B51" s="199" t="s">
        <v>125</v>
      </c>
      <c r="C51" s="200"/>
      <c r="D51" s="201"/>
      <c r="E51" s="178"/>
    </row>
    <row r="52" outlineLevel="2">
      <c r="A52" s="179"/>
      <c r="B52" s="199" t="s">
        <v>126</v>
      </c>
      <c r="C52" s="200"/>
      <c r="D52" s="201"/>
      <c r="E52" s="178"/>
    </row>
    <row r="53" outlineLevel="2">
      <c r="A53" s="179"/>
      <c r="B53" s="199" t="s">
        <v>127</v>
      </c>
      <c r="C53" s="200"/>
      <c r="D53" s="201"/>
      <c r="E53" s="178"/>
    </row>
    <row r="54" outlineLevel="2">
      <c r="A54" s="179"/>
      <c r="B54" s="199" t="s">
        <v>128</v>
      </c>
      <c r="C54" s="200"/>
      <c r="D54" s="201"/>
      <c r="E54" s="178"/>
    </row>
    <row r="55" outlineLevel="2">
      <c r="A55" s="179"/>
      <c r="B55" s="199" t="s">
        <v>129</v>
      </c>
      <c r="C55" s="200"/>
      <c r="D55" s="201"/>
      <c r="E55" s="178"/>
    </row>
    <row r="56" outlineLevel="2">
      <c r="A56" s="179"/>
      <c r="B56" s="199" t="s">
        <v>130</v>
      </c>
      <c r="C56" s="200"/>
      <c r="D56" s="201"/>
      <c r="E56" s="178"/>
    </row>
    <row r="57" outlineLevel="2">
      <c r="A57" s="179"/>
      <c r="B57" s="199" t="s">
        <v>131</v>
      </c>
      <c r="C57" s="200"/>
      <c r="D57" s="201"/>
      <c r="E57" s="178"/>
    </row>
    <row r="58" outlineLevel="2">
      <c r="A58" s="179"/>
      <c r="B58" s="199" t="s">
        <v>132</v>
      </c>
      <c r="C58" s="200"/>
      <c r="D58" s="201"/>
      <c r="E58" s="178"/>
    </row>
    <row r="59" outlineLevel="2">
      <c r="A59" s="179"/>
      <c r="B59" s="199" t="s">
        <v>133</v>
      </c>
      <c r="C59" s="200"/>
      <c r="D59" s="201"/>
      <c r="E59" s="178"/>
    </row>
    <row r="60" outlineLevel="2">
      <c r="A60" s="179"/>
      <c r="B60" s="199" t="s">
        <v>134</v>
      </c>
      <c r="C60" s="200"/>
      <c r="D60" s="201"/>
      <c r="E60" s="178"/>
    </row>
    <row r="61" outlineLevel="2">
      <c r="A61" s="179"/>
      <c r="B61" s="199" t="s">
        <v>135</v>
      </c>
      <c r="C61" s="200"/>
      <c r="D61" s="201"/>
      <c r="E61" s="178"/>
    </row>
    <row r="62" outlineLevel="2">
      <c r="A62" s="179"/>
      <c r="B62" s="199" t="s">
        <v>136</v>
      </c>
      <c r="C62" s="200"/>
      <c r="D62" s="201"/>
      <c r="E62" s="178"/>
    </row>
    <row r="63" outlineLevel="2">
      <c r="A63" s="179"/>
      <c r="B63" s="199" t="s">
        <v>137</v>
      </c>
      <c r="C63" s="200"/>
      <c r="D63" s="201"/>
      <c r="E63" s="178"/>
    </row>
    <row r="64" outlineLevel="2">
      <c r="A64" s="179"/>
      <c r="B64" s="199" t="s">
        <v>138</v>
      </c>
      <c r="C64" s="200"/>
      <c r="D64" s="203"/>
      <c r="E64" s="178"/>
    </row>
    <row r="65" outlineLevel="2">
      <c r="A65" s="179"/>
      <c r="B65" s="199" t="s">
        <v>139</v>
      </c>
      <c r="C65" s="200"/>
      <c r="D65" s="201"/>
      <c r="E65" s="178"/>
    </row>
    <row r="66" outlineLevel="2">
      <c r="A66" s="179"/>
      <c r="B66" s="199" t="s">
        <v>140</v>
      </c>
      <c r="C66" s="200"/>
      <c r="D66" s="201"/>
      <c r="E66" s="178"/>
    </row>
    <row r="67" outlineLevel="2">
      <c r="A67" s="179"/>
      <c r="B67" s="199" t="s">
        <v>141</v>
      </c>
      <c r="C67" s="200"/>
      <c r="D67" s="201"/>
      <c r="E67" s="178"/>
    </row>
    <row r="68" outlineLevel="2">
      <c r="A68" s="179"/>
      <c r="B68" s="199" t="s">
        <v>142</v>
      </c>
      <c r="C68" s="200"/>
      <c r="D68" s="201"/>
      <c r="E68" s="178"/>
    </row>
    <row r="69" outlineLevel="1">
      <c r="A69" s="179"/>
      <c r="B69" s="208" t="s">
        <v>143</v>
      </c>
      <c r="C69" s="200"/>
      <c r="D69" s="201"/>
      <c r="E69" s="178"/>
    </row>
    <row r="70">
      <c r="A70" s="179"/>
      <c r="B70" s="193" t="s">
        <v>144</v>
      </c>
      <c r="C70" s="193" t="s">
        <v>84</v>
      </c>
      <c r="D70" s="193" t="s">
        <v>85</v>
      </c>
      <c r="E70" s="178"/>
    </row>
    <row r="71" outlineLevel="1">
      <c r="A71" s="179"/>
      <c r="B71" s="199" t="s">
        <v>145</v>
      </c>
      <c r="C71" s="200"/>
      <c r="D71" s="201"/>
      <c r="E71" s="178"/>
    </row>
    <row r="72" outlineLevel="1">
      <c r="A72" s="179"/>
      <c r="B72" s="199" t="s">
        <v>146</v>
      </c>
      <c r="C72" s="200"/>
      <c r="D72" s="201"/>
      <c r="E72" s="178"/>
    </row>
    <row r="73" outlineLevel="1">
      <c r="A73" s="179"/>
      <c r="B73" s="199" t="s">
        <v>147</v>
      </c>
      <c r="C73" s="200"/>
      <c r="D73" s="201"/>
      <c r="E73" s="178"/>
    </row>
    <row r="74" outlineLevel="1">
      <c r="A74" s="179"/>
      <c r="B74" s="199" t="s">
        <v>148</v>
      </c>
      <c r="C74" s="200"/>
      <c r="D74" s="201"/>
      <c r="E74" s="178"/>
    </row>
    <row r="75" outlineLevel="1">
      <c r="A75" s="179"/>
      <c r="B75" s="199" t="s">
        <v>149</v>
      </c>
      <c r="C75" s="200"/>
      <c r="D75" s="201"/>
      <c r="E75" s="178"/>
    </row>
    <row r="76" outlineLevel="1">
      <c r="A76" s="179"/>
      <c r="B76" s="199" t="s">
        <v>150</v>
      </c>
      <c r="C76" s="200"/>
      <c r="D76" s="201"/>
      <c r="E76" s="178"/>
    </row>
    <row r="77" outlineLevel="1">
      <c r="A77" s="179"/>
      <c r="B77" s="199" t="s">
        <v>151</v>
      </c>
      <c r="C77" s="200"/>
      <c r="D77" s="201"/>
      <c r="E77" s="178"/>
    </row>
    <row r="78" outlineLevel="1">
      <c r="A78" s="179"/>
      <c r="B78" s="199" t="s">
        <v>152</v>
      </c>
      <c r="C78" s="200"/>
      <c r="D78" s="201"/>
      <c r="E78" s="178"/>
    </row>
    <row r="79" outlineLevel="1">
      <c r="A79" s="179"/>
      <c r="B79" s="199" t="s">
        <v>153</v>
      </c>
      <c r="C79" s="200"/>
      <c r="D79" s="201"/>
      <c r="E79" s="178"/>
    </row>
    <row r="80" outlineLevel="1">
      <c r="A80" s="179"/>
      <c r="B80" s="199" t="s">
        <v>154</v>
      </c>
      <c r="C80" s="200"/>
      <c r="D80" s="201"/>
      <c r="E80" s="178"/>
    </row>
    <row r="81" outlineLevel="1">
      <c r="A81" s="179"/>
      <c r="B81" s="199" t="s">
        <v>155</v>
      </c>
      <c r="C81" s="200"/>
      <c r="D81" s="201"/>
      <c r="E81" s="178"/>
    </row>
    <row r="82" outlineLevel="1">
      <c r="A82" s="179"/>
      <c r="B82" s="199" t="s">
        <v>156</v>
      </c>
      <c r="C82" s="200"/>
      <c r="D82" s="201"/>
      <c r="E82" s="178"/>
    </row>
    <row r="83" outlineLevel="1">
      <c r="A83" s="179"/>
      <c r="B83" s="199" t="s">
        <v>157</v>
      </c>
      <c r="C83" s="200"/>
      <c r="D83" s="201"/>
      <c r="E83" s="178"/>
    </row>
    <row r="84" outlineLevel="1">
      <c r="A84" s="179"/>
      <c r="B84" s="199" t="s">
        <v>158</v>
      </c>
      <c r="C84" s="200"/>
      <c r="D84" s="201"/>
      <c r="E84" s="178"/>
    </row>
    <row r="85" outlineLevel="1">
      <c r="A85" s="179"/>
      <c r="B85" s="199" t="s">
        <v>159</v>
      </c>
      <c r="C85" s="200"/>
      <c r="D85" s="201"/>
      <c r="E85" s="178"/>
    </row>
    <row r="86" outlineLevel="1">
      <c r="A86" s="179"/>
      <c r="B86" s="199" t="s">
        <v>160</v>
      </c>
      <c r="C86" s="200"/>
      <c r="D86" s="201"/>
      <c r="E86" s="178"/>
    </row>
    <row r="87" outlineLevel="1">
      <c r="A87" s="179"/>
      <c r="B87" s="199" t="s">
        <v>161</v>
      </c>
      <c r="C87" s="200"/>
      <c r="D87" s="201"/>
      <c r="E87" s="178"/>
    </row>
    <row r="88" outlineLevel="1">
      <c r="A88" s="179"/>
      <c r="B88" s="199" t="s">
        <v>162</v>
      </c>
      <c r="C88" s="200"/>
      <c r="D88" s="201"/>
      <c r="E88" s="178"/>
    </row>
    <row r="89" outlineLevel="1">
      <c r="A89" s="179"/>
      <c r="B89" s="199" t="s">
        <v>163</v>
      </c>
      <c r="C89" s="200"/>
      <c r="D89" s="201"/>
      <c r="E89" s="178"/>
    </row>
    <row r="90" outlineLevel="1">
      <c r="A90" s="179"/>
      <c r="B90" s="199" t="s">
        <v>164</v>
      </c>
      <c r="C90" s="200"/>
      <c r="D90" s="201"/>
      <c r="E90" s="178"/>
    </row>
    <row r="91" outlineLevel="1">
      <c r="A91" s="179"/>
      <c r="B91" s="199" t="s">
        <v>165</v>
      </c>
      <c r="C91" s="200"/>
      <c r="D91" s="201"/>
      <c r="E91" s="178"/>
    </row>
    <row r="92" outlineLevel="1">
      <c r="A92" s="179"/>
      <c r="B92" s="199" t="s">
        <v>166</v>
      </c>
      <c r="C92" s="200"/>
      <c r="D92" s="201"/>
      <c r="E92" s="178"/>
    </row>
    <row r="93" outlineLevel="1">
      <c r="A93" s="179"/>
      <c r="B93" s="199" t="s">
        <v>167</v>
      </c>
      <c r="C93" s="200"/>
      <c r="D93" s="201"/>
      <c r="E93" s="178"/>
    </row>
    <row r="94" outlineLevel="1">
      <c r="A94" s="179"/>
      <c r="B94" s="199" t="s">
        <v>168</v>
      </c>
      <c r="C94" s="200"/>
      <c r="D94" s="201"/>
      <c r="E94" s="178"/>
    </row>
    <row r="95" outlineLevel="1">
      <c r="A95" s="179"/>
      <c r="B95" s="199" t="s">
        <v>169</v>
      </c>
      <c r="C95" s="200"/>
      <c r="D95" s="201"/>
      <c r="E95" s="178"/>
    </row>
    <row r="96" outlineLevel="1">
      <c r="A96" s="179"/>
      <c r="B96" s="199" t="s">
        <v>170</v>
      </c>
      <c r="C96" s="200"/>
      <c r="D96" s="201"/>
      <c r="E96" s="178"/>
    </row>
    <row r="97" outlineLevel="1">
      <c r="A97" s="179"/>
      <c r="B97" s="199" t="s">
        <v>171</v>
      </c>
      <c r="C97" s="200"/>
      <c r="D97" s="201"/>
      <c r="E97" s="178"/>
    </row>
    <row r="98" outlineLevel="1">
      <c r="A98" s="179"/>
      <c r="B98" s="199" t="s">
        <v>172</v>
      </c>
      <c r="C98" s="200"/>
      <c r="D98" s="201"/>
      <c r="E98" s="178"/>
    </row>
    <row r="99" outlineLevel="1">
      <c r="A99" s="179"/>
      <c r="B99" s="199" t="s">
        <v>173</v>
      </c>
      <c r="C99" s="200"/>
      <c r="D99" s="201"/>
      <c r="E99" s="178"/>
    </row>
    <row r="100" outlineLevel="1">
      <c r="A100" s="179"/>
      <c r="B100" s="199" t="s">
        <v>174</v>
      </c>
      <c r="C100" s="200"/>
      <c r="D100" s="201"/>
      <c r="E100" s="178"/>
    </row>
    <row r="101" outlineLevel="1">
      <c r="A101" s="179"/>
      <c r="B101" s="199" t="s">
        <v>175</v>
      </c>
      <c r="C101" s="200"/>
      <c r="D101" s="201"/>
      <c r="E101" s="178"/>
    </row>
    <row r="102" outlineLevel="1">
      <c r="A102" s="179"/>
      <c r="B102" s="199" t="s">
        <v>176</v>
      </c>
      <c r="C102" s="200"/>
      <c r="D102" s="201"/>
      <c r="E102" s="178"/>
    </row>
    <row r="103" outlineLevel="1">
      <c r="A103" s="179"/>
      <c r="B103" s="199" t="s">
        <v>177</v>
      </c>
      <c r="C103" s="200"/>
      <c r="D103" s="201"/>
      <c r="E103" s="178"/>
    </row>
    <row r="104" outlineLevel="1">
      <c r="A104" s="179"/>
      <c r="B104" s="199" t="s">
        <v>178</v>
      </c>
      <c r="C104" s="200"/>
      <c r="D104" s="201"/>
      <c r="E104" s="178"/>
    </row>
    <row r="105">
      <c r="A105" s="179"/>
      <c r="B105" s="193" t="s">
        <v>179</v>
      </c>
      <c r="C105" s="193" t="s">
        <v>84</v>
      </c>
      <c r="D105" s="193" t="s">
        <v>85</v>
      </c>
      <c r="E105" s="178"/>
    </row>
    <row r="106" outlineLevel="1">
      <c r="A106" s="179"/>
      <c r="B106" s="199" t="s">
        <v>180</v>
      </c>
      <c r="C106" s="200"/>
      <c r="D106" s="203"/>
      <c r="E106" s="178"/>
    </row>
    <row r="107" outlineLevel="1">
      <c r="A107" s="179"/>
      <c r="B107" s="199" t="s">
        <v>181</v>
      </c>
      <c r="C107" s="200"/>
      <c r="D107" s="201"/>
      <c r="E107" s="178"/>
    </row>
    <row r="108" outlineLevel="1">
      <c r="A108" s="179"/>
      <c r="B108" s="199" t="s">
        <v>182</v>
      </c>
      <c r="C108" s="200"/>
      <c r="D108" s="201"/>
      <c r="E108" s="178"/>
    </row>
    <row r="109" outlineLevel="1">
      <c r="A109" s="179"/>
      <c r="B109" s="199" t="s">
        <v>183</v>
      </c>
      <c r="C109" s="200"/>
      <c r="D109" s="201"/>
      <c r="E109" s="178"/>
    </row>
    <row r="110" outlineLevel="1">
      <c r="A110" s="179"/>
      <c r="B110" s="199" t="s">
        <v>184</v>
      </c>
      <c r="C110" s="200"/>
      <c r="D110" s="201"/>
      <c r="E110" s="178"/>
    </row>
    <row r="111" outlineLevel="1">
      <c r="A111" s="179"/>
      <c r="B111" s="199" t="s">
        <v>185</v>
      </c>
      <c r="C111" s="200"/>
      <c r="D111" s="201"/>
      <c r="E111" s="178"/>
    </row>
    <row r="112" outlineLevel="1">
      <c r="A112" s="179"/>
      <c r="B112" s="199" t="s">
        <v>186</v>
      </c>
      <c r="C112" s="200"/>
      <c r="D112" s="201"/>
      <c r="E112" s="178"/>
    </row>
    <row r="113" outlineLevel="1">
      <c r="A113" s="179"/>
      <c r="B113" s="199" t="s">
        <v>187</v>
      </c>
      <c r="C113" s="200"/>
      <c r="D113" s="201"/>
      <c r="E113" s="178"/>
    </row>
    <row r="114" outlineLevel="1">
      <c r="A114" s="179"/>
      <c r="B114" s="199" t="s">
        <v>188</v>
      </c>
      <c r="C114" s="200"/>
      <c r="D114" s="201"/>
      <c r="E114" s="178"/>
    </row>
    <row r="115" outlineLevel="1">
      <c r="A115" s="179"/>
      <c r="B115" s="199" t="s">
        <v>150</v>
      </c>
      <c r="C115" s="200"/>
      <c r="D115" s="201"/>
      <c r="E115" s="178"/>
    </row>
    <row r="116" outlineLevel="1">
      <c r="A116" s="179"/>
      <c r="B116" s="199" t="s">
        <v>129</v>
      </c>
      <c r="C116" s="200"/>
      <c r="D116" s="201"/>
      <c r="E116" s="178"/>
    </row>
    <row r="117" outlineLevel="1">
      <c r="A117" s="179"/>
      <c r="B117" s="199" t="s">
        <v>189</v>
      </c>
      <c r="C117" s="200"/>
      <c r="D117" s="201"/>
      <c r="E117" s="178"/>
    </row>
    <row r="118" outlineLevel="1">
      <c r="A118" s="179"/>
      <c r="B118" s="199" t="s">
        <v>190</v>
      </c>
      <c r="C118" s="200"/>
      <c r="D118" s="201"/>
      <c r="E118" s="178"/>
    </row>
    <row r="119" outlineLevel="1">
      <c r="A119" s="179"/>
      <c r="B119" s="199" t="s">
        <v>191</v>
      </c>
      <c r="C119" s="200"/>
      <c r="D119" s="201"/>
      <c r="E119" s="178"/>
    </row>
    <row r="120" outlineLevel="1">
      <c r="A120" s="179"/>
      <c r="B120" s="199" t="s">
        <v>192</v>
      </c>
      <c r="C120" s="200"/>
      <c r="D120" s="201"/>
      <c r="E120" s="178"/>
    </row>
    <row r="121" outlineLevel="1">
      <c r="A121" s="179"/>
      <c r="B121" s="199" t="s">
        <v>193</v>
      </c>
      <c r="C121" s="200"/>
      <c r="D121" s="201"/>
      <c r="E121" s="178"/>
    </row>
    <row r="122" outlineLevel="1">
      <c r="A122" s="179"/>
      <c r="B122" s="199" t="s">
        <v>194</v>
      </c>
      <c r="C122" s="200"/>
      <c r="D122" s="201"/>
      <c r="E122" s="178"/>
    </row>
    <row r="123" outlineLevel="1">
      <c r="A123" s="179"/>
      <c r="B123" s="199" t="s">
        <v>195</v>
      </c>
      <c r="C123" s="200"/>
      <c r="D123" s="201"/>
      <c r="E123" s="178"/>
    </row>
    <row r="124" outlineLevel="1">
      <c r="A124" s="179"/>
      <c r="B124" s="199" t="s">
        <v>196</v>
      </c>
      <c r="C124" s="200"/>
      <c r="D124" s="201"/>
      <c r="E124" s="178"/>
    </row>
    <row r="125" outlineLevel="1">
      <c r="A125" s="179"/>
      <c r="B125" s="199" t="s">
        <v>197</v>
      </c>
      <c r="C125" s="200"/>
      <c r="D125" s="201"/>
      <c r="E125" s="178"/>
    </row>
    <row r="126" outlineLevel="1">
      <c r="A126" s="179"/>
      <c r="B126" s="199" t="s">
        <v>198</v>
      </c>
      <c r="C126" s="200"/>
      <c r="D126" s="201"/>
      <c r="E126" s="178"/>
    </row>
    <row r="127" outlineLevel="1">
      <c r="A127" s="179"/>
      <c r="B127" s="199" t="s">
        <v>199</v>
      </c>
      <c r="C127" s="200"/>
      <c r="D127" s="201"/>
      <c r="E127" s="178"/>
    </row>
    <row r="128" outlineLevel="1">
      <c r="A128" s="179"/>
      <c r="B128" s="199" t="s">
        <v>200</v>
      </c>
      <c r="C128" s="200"/>
      <c r="D128" s="201"/>
      <c r="E128" s="178"/>
    </row>
    <row r="129" outlineLevel="1">
      <c r="A129" s="179"/>
      <c r="B129" s="199" t="s">
        <v>201</v>
      </c>
      <c r="C129" s="200"/>
      <c r="D129" s="201"/>
      <c r="E129" s="178"/>
    </row>
    <row r="130" outlineLevel="1">
      <c r="A130" s="179"/>
      <c r="B130" s="199" t="s">
        <v>202</v>
      </c>
      <c r="C130" s="200"/>
      <c r="D130" s="201"/>
      <c r="E130" s="178"/>
    </row>
    <row r="131" outlineLevel="1">
      <c r="A131" s="179"/>
      <c r="B131" s="199" t="s">
        <v>203</v>
      </c>
      <c r="C131" s="200"/>
      <c r="D131" s="201"/>
      <c r="E131" s="178"/>
    </row>
    <row r="132" outlineLevel="1">
      <c r="A132" s="179"/>
      <c r="B132" s="199" t="s">
        <v>204</v>
      </c>
      <c r="C132" s="200"/>
      <c r="D132" s="201"/>
      <c r="E132" s="178"/>
    </row>
    <row r="133" outlineLevel="1">
      <c r="A133" s="179"/>
      <c r="B133" s="199" t="s">
        <v>205</v>
      </c>
      <c r="C133" s="200"/>
      <c r="D133" s="201"/>
      <c r="E133" s="178"/>
    </row>
    <row r="134" outlineLevel="1">
      <c r="A134" s="179"/>
      <c r="B134" s="199" t="s">
        <v>206</v>
      </c>
      <c r="C134" s="200"/>
      <c r="D134" s="201"/>
      <c r="E134" s="178"/>
    </row>
    <row r="135" outlineLevel="1">
      <c r="A135" s="179"/>
      <c r="B135" s="199" t="s">
        <v>207</v>
      </c>
      <c r="C135" s="200"/>
      <c r="D135" s="201"/>
      <c r="E135" s="178"/>
    </row>
    <row r="136" outlineLevel="1">
      <c r="A136" s="179"/>
      <c r="B136" s="199" t="s">
        <v>208</v>
      </c>
      <c r="C136" s="200"/>
      <c r="D136" s="201"/>
      <c r="E136" s="178"/>
    </row>
    <row r="137" outlineLevel="1">
      <c r="A137" s="179"/>
      <c r="B137" s="199" t="s">
        <v>209</v>
      </c>
      <c r="C137" s="200"/>
      <c r="D137" s="201"/>
      <c r="E137" s="178"/>
    </row>
    <row r="138" outlineLevel="1">
      <c r="A138" s="179"/>
      <c r="B138" s="199" t="s">
        <v>210</v>
      </c>
      <c r="C138" s="200"/>
      <c r="D138" s="201"/>
      <c r="E138" s="178"/>
    </row>
    <row r="139" outlineLevel="1">
      <c r="A139" s="179"/>
      <c r="B139" s="199" t="s">
        <v>211</v>
      </c>
      <c r="C139" s="200"/>
      <c r="D139" s="201"/>
      <c r="E139" s="178"/>
    </row>
    <row r="140" outlineLevel="1">
      <c r="A140" s="179"/>
      <c r="B140" s="199" t="s">
        <v>212</v>
      </c>
      <c r="C140" s="200"/>
      <c r="D140" s="201"/>
      <c r="E140" s="178"/>
    </row>
    <row r="141" outlineLevel="1">
      <c r="A141" s="179"/>
      <c r="B141" s="199" t="s">
        <v>213</v>
      </c>
      <c r="C141" s="200"/>
      <c r="D141" s="201"/>
      <c r="E141" s="178"/>
    </row>
    <row r="142" outlineLevel="1">
      <c r="A142" s="179"/>
      <c r="B142" s="199" t="s">
        <v>214</v>
      </c>
      <c r="C142" s="200"/>
      <c r="D142" s="201"/>
      <c r="E142" s="178"/>
    </row>
    <row r="143" outlineLevel="1">
      <c r="A143" s="179"/>
      <c r="B143" s="199" t="s">
        <v>215</v>
      </c>
      <c r="C143" s="200"/>
      <c r="D143" s="201"/>
      <c r="E143" s="178"/>
    </row>
    <row r="144" outlineLevel="1">
      <c r="A144" s="179"/>
      <c r="B144" s="199" t="s">
        <v>216</v>
      </c>
      <c r="C144" s="200"/>
      <c r="D144" s="201"/>
      <c r="E144" s="178"/>
    </row>
    <row r="145" outlineLevel="1">
      <c r="A145" s="179"/>
      <c r="B145" s="199" t="s">
        <v>217</v>
      </c>
      <c r="C145" s="200"/>
      <c r="D145" s="201"/>
      <c r="E145" s="178"/>
    </row>
    <row r="146" outlineLevel="1">
      <c r="A146" s="179"/>
      <c r="B146" s="199" t="s">
        <v>218</v>
      </c>
      <c r="C146" s="200"/>
      <c r="D146" s="201"/>
      <c r="E146" s="178"/>
    </row>
    <row r="147" outlineLevel="1">
      <c r="A147" s="179"/>
      <c r="B147" s="199" t="s">
        <v>219</v>
      </c>
      <c r="C147" s="200"/>
      <c r="D147" s="201"/>
      <c r="E147" s="178"/>
    </row>
    <row r="148" outlineLevel="1">
      <c r="A148" s="179"/>
      <c r="B148" s="199" t="s">
        <v>220</v>
      </c>
      <c r="C148" s="200"/>
      <c r="D148" s="201"/>
      <c r="E148" s="178"/>
    </row>
    <row r="149" outlineLevel="1">
      <c r="A149" s="179"/>
      <c r="B149" s="199" t="s">
        <v>221</v>
      </c>
      <c r="C149" s="200"/>
      <c r="D149" s="201"/>
      <c r="E149" s="178"/>
    </row>
    <row r="150" outlineLevel="1">
      <c r="A150" s="179"/>
      <c r="B150" s="199" t="s">
        <v>222</v>
      </c>
      <c r="C150" s="200"/>
      <c r="D150" s="201"/>
      <c r="E150" s="178"/>
    </row>
    <row r="151" outlineLevel="1">
      <c r="A151" s="179"/>
      <c r="B151" s="199" t="s">
        <v>176</v>
      </c>
      <c r="C151" s="200"/>
      <c r="D151" s="201"/>
      <c r="E151" s="178"/>
    </row>
    <row r="152" outlineLevel="1">
      <c r="A152" s="179"/>
      <c r="B152" s="199" t="s">
        <v>223</v>
      </c>
      <c r="C152" s="200"/>
      <c r="D152" s="201"/>
      <c r="E152" s="178"/>
    </row>
    <row r="153" outlineLevel="1">
      <c r="A153" s="179"/>
      <c r="B153" s="199" t="s">
        <v>224</v>
      </c>
      <c r="C153" s="200"/>
      <c r="D153" s="201"/>
      <c r="E153" s="178"/>
    </row>
    <row r="154" outlineLevel="1">
      <c r="A154" s="179"/>
      <c r="B154" s="199" t="s">
        <v>225</v>
      </c>
      <c r="C154" s="200"/>
      <c r="D154" s="201"/>
      <c r="E154" s="178"/>
    </row>
    <row r="155" outlineLevel="1">
      <c r="A155" s="179"/>
      <c r="B155" s="199" t="s">
        <v>226</v>
      </c>
      <c r="C155" s="200"/>
      <c r="D155" s="201"/>
      <c r="E155" s="178"/>
    </row>
    <row r="156" outlineLevel="1">
      <c r="A156" s="179"/>
      <c r="B156" s="199" t="s">
        <v>227</v>
      </c>
      <c r="C156" s="200"/>
      <c r="D156" s="201"/>
      <c r="E156" s="178"/>
    </row>
    <row r="157">
      <c r="A157" s="179"/>
      <c r="B157" s="193" t="s">
        <v>228</v>
      </c>
      <c r="C157" s="193" t="s">
        <v>84</v>
      </c>
      <c r="D157" s="193" t="s">
        <v>85</v>
      </c>
      <c r="E157" s="178"/>
    </row>
    <row r="158" outlineLevel="1">
      <c r="A158" s="179"/>
      <c r="B158" s="199" t="s">
        <v>229</v>
      </c>
      <c r="C158" s="200"/>
      <c r="D158" s="201"/>
      <c r="E158" s="178"/>
    </row>
    <row r="159" outlineLevel="1">
      <c r="A159" s="179"/>
      <c r="B159" s="199" t="s">
        <v>230</v>
      </c>
      <c r="C159" s="200"/>
      <c r="D159" s="201"/>
      <c r="E159" s="178"/>
    </row>
    <row r="160" outlineLevel="1">
      <c r="A160" s="179"/>
      <c r="B160" s="199" t="s">
        <v>231</v>
      </c>
      <c r="C160" s="200"/>
      <c r="D160" s="201"/>
      <c r="E160" s="178"/>
    </row>
    <row r="161" outlineLevel="1">
      <c r="A161" s="179"/>
      <c r="B161" s="199" t="s">
        <v>232</v>
      </c>
      <c r="C161" s="200"/>
      <c r="D161" s="201"/>
      <c r="E161" s="178"/>
    </row>
    <row r="162" outlineLevel="1">
      <c r="A162" s="179"/>
      <c r="B162" s="199" t="s">
        <v>233</v>
      </c>
      <c r="C162" s="200"/>
      <c r="D162" s="201"/>
      <c r="E162" s="178"/>
    </row>
    <row r="163" outlineLevel="1">
      <c r="A163" s="179"/>
      <c r="B163" s="199" t="s">
        <v>234</v>
      </c>
      <c r="C163" s="200"/>
      <c r="D163" s="201"/>
      <c r="E163" s="178"/>
    </row>
    <row r="164" outlineLevel="1">
      <c r="A164" s="179"/>
      <c r="B164" s="199" t="s">
        <v>235</v>
      </c>
      <c r="C164" s="200"/>
      <c r="D164" s="201"/>
      <c r="E164" s="178"/>
    </row>
    <row r="165" outlineLevel="1">
      <c r="A165" s="179"/>
      <c r="B165" s="199" t="s">
        <v>236</v>
      </c>
      <c r="C165" s="200"/>
      <c r="D165" s="201"/>
      <c r="E165" s="178"/>
    </row>
    <row r="166" outlineLevel="1">
      <c r="A166" s="179"/>
      <c r="B166" s="199" t="s">
        <v>237</v>
      </c>
      <c r="C166" s="200"/>
      <c r="D166" s="201"/>
      <c r="E166" s="178"/>
    </row>
    <row r="167" outlineLevel="1">
      <c r="A167" s="179"/>
      <c r="B167" s="199" t="s">
        <v>238</v>
      </c>
      <c r="C167" s="200"/>
      <c r="D167" s="201"/>
      <c r="E167" s="178"/>
    </row>
    <row r="168" outlineLevel="1">
      <c r="A168" s="179"/>
      <c r="B168" s="199" t="s">
        <v>239</v>
      </c>
      <c r="C168" s="200"/>
      <c r="D168" s="201"/>
      <c r="E168" s="178"/>
    </row>
    <row r="169" outlineLevel="1">
      <c r="A169" s="179"/>
      <c r="B169" s="199" t="s">
        <v>240</v>
      </c>
      <c r="C169" s="200"/>
      <c r="D169" s="201"/>
      <c r="E169" s="178"/>
    </row>
    <row r="170" outlineLevel="1">
      <c r="A170" s="179"/>
      <c r="B170" s="199" t="s">
        <v>241</v>
      </c>
      <c r="C170" s="200"/>
      <c r="D170" s="201"/>
      <c r="E170" s="178"/>
    </row>
    <row r="171" outlineLevel="1">
      <c r="A171" s="179"/>
      <c r="B171" s="199" t="s">
        <v>242</v>
      </c>
      <c r="C171" s="200"/>
      <c r="D171" s="201"/>
      <c r="E171" s="178"/>
    </row>
    <row r="172">
      <c r="A172" s="179"/>
      <c r="B172" s="194" t="s">
        <v>243</v>
      </c>
      <c r="C172" s="193" t="s">
        <v>84</v>
      </c>
      <c r="D172" s="193" t="s">
        <v>85</v>
      </c>
      <c r="E172" s="178"/>
    </row>
    <row r="173" outlineLevel="1">
      <c r="A173" s="195"/>
      <c r="B173" s="209" t="s">
        <v>244</v>
      </c>
      <c r="C173" s="200"/>
      <c r="D173" s="201"/>
      <c r="E173" s="178"/>
    </row>
    <row r="174" outlineLevel="1">
      <c r="A174" s="195"/>
      <c r="B174" s="209" t="s">
        <v>245</v>
      </c>
      <c r="C174" s="200"/>
      <c r="D174" s="201"/>
      <c r="E174" s="178"/>
    </row>
    <row r="175" outlineLevel="1">
      <c r="A175" s="179"/>
      <c r="B175" s="199" t="s">
        <v>246</v>
      </c>
      <c r="C175" s="200"/>
      <c r="D175" s="201"/>
      <c r="E175" s="178"/>
    </row>
    <row r="176">
      <c r="A176" s="195"/>
      <c r="B176" s="193" t="s">
        <v>247</v>
      </c>
      <c r="C176" s="193" t="s">
        <v>84</v>
      </c>
      <c r="D176" s="193" t="s">
        <v>85</v>
      </c>
      <c r="E176" s="178"/>
    </row>
    <row r="177" outlineLevel="1">
      <c r="A177" s="195"/>
      <c r="B177" s="210" t="s">
        <v>248</v>
      </c>
      <c r="C177" s="200"/>
      <c r="D177" s="201"/>
      <c r="E177" s="178"/>
    </row>
    <row r="178" outlineLevel="1">
      <c r="A178" s="195"/>
      <c r="B178" s="210" t="s">
        <v>249</v>
      </c>
      <c r="C178" s="200"/>
      <c r="D178" s="201"/>
      <c r="E178" s="178"/>
    </row>
    <row r="179" outlineLevel="1">
      <c r="A179" s="179"/>
      <c r="B179" s="211" t="s">
        <v>250</v>
      </c>
      <c r="C179" s="200"/>
      <c r="D179" s="201"/>
      <c r="E179" s="178"/>
    </row>
    <row r="180" outlineLevel="1">
      <c r="A180" s="179"/>
      <c r="B180" s="211" t="s">
        <v>251</v>
      </c>
      <c r="C180" s="200"/>
      <c r="D180" s="201"/>
      <c r="E180" s="178"/>
    </row>
    <row r="181" outlineLevel="1">
      <c r="A181" s="179"/>
      <c r="B181" s="211" t="s">
        <v>252</v>
      </c>
      <c r="C181" s="200"/>
      <c r="D181" s="201"/>
      <c r="E181" s="178"/>
    </row>
    <row r="182" outlineLevel="1">
      <c r="A182" s="179"/>
      <c r="B182" s="211" t="s">
        <v>253</v>
      </c>
      <c r="C182" s="200"/>
      <c r="D182" s="201"/>
      <c r="E182" s="178"/>
    </row>
    <row r="183" outlineLevel="1">
      <c r="A183" s="179"/>
      <c r="B183" s="211" t="s">
        <v>254</v>
      </c>
      <c r="C183" s="200"/>
      <c r="D183" s="201"/>
      <c r="E183" s="178"/>
    </row>
    <row r="184" outlineLevel="1">
      <c r="A184" s="179"/>
      <c r="B184" s="211" t="s">
        <v>255</v>
      </c>
      <c r="C184" s="200"/>
      <c r="D184" s="201"/>
      <c r="E184" s="178"/>
    </row>
    <row r="185" outlineLevel="1">
      <c r="A185" s="179"/>
      <c r="B185" s="211" t="s">
        <v>256</v>
      </c>
      <c r="C185" s="200"/>
      <c r="D185" s="201"/>
      <c r="E185" s="178"/>
    </row>
    <row r="186" outlineLevel="1">
      <c r="A186" s="179"/>
      <c r="B186" s="211" t="s">
        <v>257</v>
      </c>
      <c r="C186" s="200"/>
      <c r="D186" s="201"/>
      <c r="E186" s="178"/>
    </row>
    <row r="187" outlineLevel="1">
      <c r="A187" s="179"/>
      <c r="B187" s="211" t="s">
        <v>258</v>
      </c>
      <c r="C187" s="200"/>
      <c r="D187" s="201"/>
      <c r="E187" s="178"/>
    </row>
    <row r="188" outlineLevel="1">
      <c r="A188" s="179"/>
      <c r="B188" s="211" t="s">
        <v>259</v>
      </c>
      <c r="C188" s="200"/>
      <c r="D188" s="201"/>
      <c r="E188" s="178"/>
    </row>
    <row r="189" outlineLevel="1">
      <c r="A189" s="179"/>
      <c r="B189" s="211" t="s">
        <v>260</v>
      </c>
      <c r="C189" s="200"/>
      <c r="D189" s="201"/>
      <c r="E189" s="178"/>
    </row>
    <row r="190" outlineLevel="1">
      <c r="A190" s="179"/>
      <c r="B190" s="211" t="s">
        <v>261</v>
      </c>
      <c r="C190" s="200"/>
      <c r="D190" s="201"/>
      <c r="E190" s="178"/>
    </row>
    <row r="191" outlineLevel="1">
      <c r="A191" s="179"/>
      <c r="B191" s="211" t="s">
        <v>262</v>
      </c>
      <c r="C191" s="200"/>
      <c r="D191" s="201"/>
      <c r="E191" s="178"/>
    </row>
    <row r="192" outlineLevel="1">
      <c r="A192" s="179"/>
      <c r="B192" s="211" t="s">
        <v>263</v>
      </c>
      <c r="C192" s="200"/>
      <c r="D192" s="201"/>
      <c r="E192" s="178"/>
    </row>
    <row r="193" outlineLevel="1">
      <c r="A193" s="179"/>
      <c r="B193" s="211" t="s">
        <v>264</v>
      </c>
      <c r="C193" s="200"/>
      <c r="D193" s="201"/>
      <c r="E193" s="178"/>
    </row>
    <row r="194" outlineLevel="1">
      <c r="A194" s="179"/>
      <c r="B194" s="211" t="s">
        <v>265</v>
      </c>
      <c r="C194" s="200"/>
      <c r="D194" s="201"/>
      <c r="E194" s="178"/>
    </row>
    <row r="195" outlineLevel="1">
      <c r="A195" s="179"/>
      <c r="B195" s="211" t="s">
        <v>266</v>
      </c>
      <c r="C195" s="200"/>
      <c r="D195" s="201"/>
      <c r="E195" s="178"/>
    </row>
    <row r="196" outlineLevel="1">
      <c r="A196" s="179"/>
      <c r="B196" s="211" t="s">
        <v>267</v>
      </c>
      <c r="C196" s="200"/>
      <c r="D196" s="201"/>
      <c r="E196" s="178"/>
    </row>
    <row r="197" outlineLevel="1">
      <c r="A197" s="179"/>
      <c r="B197" s="211" t="s">
        <v>268</v>
      </c>
      <c r="C197" s="200"/>
      <c r="D197" s="201"/>
      <c r="E197" s="178"/>
    </row>
    <row r="198" outlineLevel="1">
      <c r="A198" s="179"/>
      <c r="B198" s="211" t="s">
        <v>269</v>
      </c>
      <c r="C198" s="200"/>
      <c r="D198" s="201"/>
      <c r="E198" s="178"/>
    </row>
    <row r="199" outlineLevel="1">
      <c r="A199" s="179"/>
      <c r="B199" s="211" t="s">
        <v>270</v>
      </c>
      <c r="C199" s="200"/>
      <c r="D199" s="201"/>
      <c r="E199" s="178"/>
    </row>
    <row r="200" outlineLevel="1">
      <c r="A200" s="179"/>
      <c r="B200" s="211" t="s">
        <v>271</v>
      </c>
      <c r="C200" s="200"/>
      <c r="D200" s="201"/>
      <c r="E200" s="178"/>
    </row>
    <row r="201" outlineLevel="1">
      <c r="A201" s="179"/>
      <c r="B201" s="211" t="s">
        <v>272</v>
      </c>
      <c r="C201" s="200"/>
      <c r="D201" s="201"/>
      <c r="E201" s="178"/>
    </row>
    <row r="202" outlineLevel="1">
      <c r="A202" s="179"/>
      <c r="B202" s="211" t="s">
        <v>273</v>
      </c>
      <c r="C202" s="200"/>
      <c r="D202" s="201"/>
      <c r="E202" s="178"/>
    </row>
    <row r="203" outlineLevel="1">
      <c r="A203" s="179"/>
      <c r="B203" s="211" t="s">
        <v>274</v>
      </c>
      <c r="C203" s="200"/>
      <c r="D203" s="201"/>
      <c r="E203" s="178"/>
    </row>
    <row r="204" outlineLevel="1">
      <c r="A204" s="179"/>
      <c r="B204" s="211" t="s">
        <v>275</v>
      </c>
      <c r="C204" s="200"/>
      <c r="D204" s="201"/>
      <c r="E204" s="178"/>
    </row>
    <row r="205" outlineLevel="1">
      <c r="A205" s="179"/>
      <c r="B205" s="211" t="s">
        <v>276</v>
      </c>
      <c r="C205" s="200"/>
      <c r="D205" s="201"/>
      <c r="E205" s="178"/>
    </row>
    <row r="206" outlineLevel="1">
      <c r="A206" s="179"/>
      <c r="B206" s="211" t="s">
        <v>277</v>
      </c>
      <c r="C206" s="200"/>
      <c r="D206" s="201"/>
      <c r="E206" s="178"/>
    </row>
    <row r="207" outlineLevel="1">
      <c r="A207" s="179"/>
      <c r="B207" s="211" t="s">
        <v>278</v>
      </c>
      <c r="C207" s="200"/>
      <c r="D207" s="201"/>
      <c r="E207" s="178"/>
    </row>
    <row r="208" outlineLevel="1">
      <c r="A208" s="179"/>
      <c r="B208" s="211" t="s">
        <v>279</v>
      </c>
      <c r="C208" s="200"/>
      <c r="D208" s="201"/>
      <c r="E208" s="178"/>
    </row>
    <row r="209" outlineLevel="1">
      <c r="A209" s="179"/>
      <c r="B209" s="211" t="s">
        <v>280</v>
      </c>
      <c r="C209" s="200"/>
      <c r="D209" s="201"/>
      <c r="E209" s="178"/>
    </row>
    <row r="210" outlineLevel="1">
      <c r="A210" s="179"/>
      <c r="B210" s="211" t="s">
        <v>281</v>
      </c>
      <c r="C210" s="200"/>
      <c r="D210" s="201"/>
      <c r="E210" s="178"/>
    </row>
    <row r="211" outlineLevel="1">
      <c r="A211" s="179"/>
      <c r="B211" s="211" t="s">
        <v>282</v>
      </c>
      <c r="C211" s="200"/>
      <c r="D211" s="201"/>
      <c r="E211" s="178"/>
    </row>
    <row r="212" outlineLevel="1">
      <c r="A212" s="179"/>
      <c r="B212" s="211" t="s">
        <v>283</v>
      </c>
      <c r="C212" s="200"/>
      <c r="D212" s="201"/>
      <c r="E212" s="178"/>
    </row>
    <row r="213" outlineLevel="1">
      <c r="A213" s="179"/>
      <c r="B213" s="211" t="s">
        <v>284</v>
      </c>
      <c r="C213" s="200"/>
      <c r="D213" s="201"/>
      <c r="E213" s="178"/>
    </row>
    <row r="214" outlineLevel="1">
      <c r="A214" s="179"/>
      <c r="B214" s="211" t="s">
        <v>285</v>
      </c>
      <c r="C214" s="200"/>
      <c r="D214" s="201"/>
      <c r="E214" s="178"/>
    </row>
    <row r="215" outlineLevel="1">
      <c r="A215" s="179"/>
      <c r="B215" s="211" t="s">
        <v>286</v>
      </c>
      <c r="C215" s="200"/>
      <c r="D215" s="201"/>
      <c r="E215" s="178"/>
    </row>
    <row r="216" outlineLevel="1">
      <c r="A216" s="179"/>
      <c r="B216" s="211" t="s">
        <v>287</v>
      </c>
      <c r="C216" s="200"/>
      <c r="D216" s="201"/>
      <c r="E216" s="178"/>
    </row>
    <row r="217" outlineLevel="1">
      <c r="A217" s="179"/>
      <c r="B217" s="211" t="s">
        <v>288</v>
      </c>
      <c r="C217" s="200"/>
      <c r="D217" s="201"/>
      <c r="E217" s="178"/>
    </row>
    <row r="218" outlineLevel="1">
      <c r="A218" s="179"/>
      <c r="B218" s="211" t="s">
        <v>289</v>
      </c>
      <c r="C218" s="200"/>
      <c r="D218" s="201"/>
      <c r="E218" s="178"/>
    </row>
    <row r="219" outlineLevel="1">
      <c r="A219" s="179"/>
      <c r="B219" s="211" t="s">
        <v>290</v>
      </c>
      <c r="C219" s="200"/>
      <c r="D219" s="201"/>
      <c r="E219" s="178"/>
    </row>
    <row r="220" outlineLevel="1">
      <c r="A220" s="179"/>
      <c r="B220" s="211" t="s">
        <v>291</v>
      </c>
      <c r="C220" s="200"/>
      <c r="D220" s="201"/>
      <c r="E220" s="178"/>
    </row>
    <row r="221" outlineLevel="1">
      <c r="A221" s="179"/>
      <c r="B221" s="211" t="s">
        <v>292</v>
      </c>
      <c r="C221" s="200"/>
      <c r="D221" s="201"/>
      <c r="E221" s="178"/>
    </row>
    <row r="222" outlineLevel="1">
      <c r="A222" s="179"/>
      <c r="B222" s="211" t="s">
        <v>293</v>
      </c>
      <c r="C222" s="200"/>
      <c r="D222" s="201"/>
      <c r="E222" s="178"/>
    </row>
    <row r="223" outlineLevel="1">
      <c r="A223" s="179"/>
      <c r="B223" s="211" t="s">
        <v>294</v>
      </c>
      <c r="C223" s="200"/>
      <c r="D223" s="201"/>
      <c r="E223" s="178"/>
    </row>
    <row r="224" outlineLevel="1">
      <c r="A224" s="179"/>
      <c r="B224" s="211" t="s">
        <v>295</v>
      </c>
      <c r="C224" s="200"/>
      <c r="D224" s="201"/>
      <c r="E224" s="178"/>
    </row>
    <row r="225" outlineLevel="1">
      <c r="A225" s="179"/>
      <c r="B225" s="211" t="s">
        <v>296</v>
      </c>
      <c r="C225" s="200"/>
      <c r="D225" s="201"/>
      <c r="E225" s="178"/>
    </row>
    <row r="226" outlineLevel="1">
      <c r="A226" s="179"/>
      <c r="B226" s="211" t="s">
        <v>297</v>
      </c>
      <c r="C226" s="200"/>
      <c r="D226" s="201"/>
      <c r="E226" s="178"/>
    </row>
    <row r="227" outlineLevel="1">
      <c r="A227" s="179"/>
      <c r="B227" s="211" t="s">
        <v>298</v>
      </c>
      <c r="C227" s="200"/>
      <c r="D227" s="201"/>
      <c r="E227" s="178"/>
    </row>
    <row r="228" outlineLevel="1">
      <c r="A228" s="179"/>
      <c r="B228" s="211" t="s">
        <v>299</v>
      </c>
      <c r="C228" s="200"/>
      <c r="D228" s="201"/>
      <c r="E228" s="178"/>
    </row>
    <row r="229" outlineLevel="1">
      <c r="A229" s="179"/>
      <c r="B229" s="211" t="s">
        <v>300</v>
      </c>
      <c r="C229" s="200"/>
      <c r="D229" s="201"/>
      <c r="E229" s="178"/>
    </row>
    <row r="230" outlineLevel="1">
      <c r="A230" s="179"/>
      <c r="B230" s="211" t="s">
        <v>301</v>
      </c>
      <c r="C230" s="200"/>
      <c r="D230" s="201"/>
      <c r="E230" s="178"/>
    </row>
    <row r="231" outlineLevel="1">
      <c r="A231" s="179"/>
      <c r="B231" s="212" t="s">
        <v>302</v>
      </c>
      <c r="C231" s="213"/>
      <c r="D231" s="214"/>
      <c r="E231" s="178"/>
    </row>
    <row r="232">
      <c r="A232" s="215"/>
      <c r="B232" s="216"/>
      <c r="C232" s="217"/>
      <c r="D232" s="217"/>
      <c r="E232" s="218"/>
    </row>
  </sheetData>
  <mergeCells count="4">
    <mergeCell ref="B2:C2"/>
    <mergeCell ref="B4:C4"/>
    <mergeCell ref="B5:C6"/>
    <mergeCell ref="B7:C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2.13"/>
    <col customWidth="1" min="2" max="2" width="8.63"/>
    <col customWidth="1" min="3" max="3" width="81.63"/>
    <col customWidth="1" min="4" max="4" width="18.75"/>
    <col customWidth="1" min="5" max="5" width="11.88"/>
    <col customWidth="1" min="6" max="6" width="11.63"/>
    <col customWidth="1" min="7" max="7" width="12.0"/>
    <col customWidth="1" min="8" max="8" width="25.88"/>
    <col customWidth="1" min="9" max="9" width="40.13"/>
    <col customWidth="1" min="10" max="10" width="53.25"/>
    <col customWidth="1" min="11" max="11" width="3.25"/>
  </cols>
  <sheetData>
    <row r="1" ht="30.0" customHeight="1">
      <c r="A1" s="219"/>
      <c r="B1" s="220" t="s">
        <v>303</v>
      </c>
      <c r="C1" s="21"/>
      <c r="D1" s="221"/>
      <c r="E1" s="222" t="s">
        <v>304</v>
      </c>
      <c r="F1" s="20"/>
      <c r="G1" s="20"/>
      <c r="H1" s="21"/>
      <c r="I1" s="223"/>
      <c r="J1" s="224"/>
      <c r="K1" s="225"/>
    </row>
    <row r="2" ht="22.5" customHeight="1">
      <c r="A2" s="169"/>
      <c r="B2" s="226" t="s">
        <v>305</v>
      </c>
      <c r="C2" s="20"/>
      <c r="D2" s="20"/>
      <c r="E2" s="20"/>
      <c r="F2" s="20"/>
      <c r="G2" s="20"/>
      <c r="H2" s="20"/>
      <c r="I2" s="20"/>
      <c r="J2" s="21"/>
      <c r="K2" s="227"/>
    </row>
    <row r="3">
      <c r="A3" s="114"/>
      <c r="B3" s="228" t="s">
        <v>306</v>
      </c>
      <c r="C3" s="20"/>
      <c r="D3" s="20"/>
      <c r="E3" s="20"/>
      <c r="F3" s="20"/>
      <c r="G3" s="20"/>
      <c r="H3" s="21"/>
      <c r="I3" s="229" t="s">
        <v>307</v>
      </c>
      <c r="J3" s="224" t="s">
        <v>308</v>
      </c>
      <c r="K3" s="227"/>
    </row>
    <row r="4" ht="9.75" customHeight="1">
      <c r="A4" s="169"/>
      <c r="B4" s="230"/>
      <c r="C4" s="231"/>
      <c r="D4" s="232" t="s">
        <v>309</v>
      </c>
      <c r="E4" s="233"/>
      <c r="F4" s="233"/>
      <c r="G4" s="233"/>
      <c r="H4" s="233"/>
      <c r="I4" s="234"/>
      <c r="J4" s="233"/>
      <c r="K4" s="227"/>
    </row>
    <row r="5">
      <c r="A5" s="124"/>
      <c r="B5" s="235" t="s">
        <v>8</v>
      </c>
      <c r="C5" s="122"/>
      <c r="D5" s="236" t="s">
        <v>310</v>
      </c>
      <c r="E5" s="237" t="s">
        <v>311</v>
      </c>
      <c r="F5" s="237" t="s">
        <v>312</v>
      </c>
      <c r="G5" s="237" t="s">
        <v>9</v>
      </c>
      <c r="H5" s="237" t="s">
        <v>313</v>
      </c>
      <c r="I5" s="238" t="s">
        <v>12</v>
      </c>
      <c r="J5" s="238" t="s">
        <v>13</v>
      </c>
      <c r="K5" s="123"/>
    </row>
    <row r="6" ht="18.75" customHeight="1">
      <c r="A6" s="239"/>
      <c r="B6" s="240" t="s">
        <v>7</v>
      </c>
      <c r="C6" s="241" t="s">
        <v>314</v>
      </c>
      <c r="D6" s="242"/>
      <c r="E6" s="242"/>
      <c r="F6" s="242"/>
      <c r="G6" s="243">
        <f>sum(G7:G20)</f>
        <v>0</v>
      </c>
      <c r="H6" s="242"/>
      <c r="I6" s="244"/>
      <c r="J6" s="245"/>
      <c r="K6" s="246"/>
    </row>
    <row r="7">
      <c r="A7" s="119"/>
      <c r="B7" s="247" t="s">
        <v>315</v>
      </c>
      <c r="C7" s="248" t="s">
        <v>316</v>
      </c>
      <c r="E7" s="249"/>
      <c r="F7" s="250"/>
      <c r="G7" s="251"/>
      <c r="H7" s="252"/>
      <c r="I7" s="253"/>
      <c r="J7" s="254"/>
      <c r="K7" s="123"/>
    </row>
    <row r="8">
      <c r="A8" s="119"/>
      <c r="B8" s="247" t="s">
        <v>315</v>
      </c>
      <c r="C8" s="248" t="s">
        <v>317</v>
      </c>
      <c r="E8" s="249"/>
      <c r="F8" s="250"/>
      <c r="G8" s="251"/>
      <c r="H8" s="252"/>
      <c r="I8" s="255"/>
      <c r="J8" s="256"/>
      <c r="K8" s="123"/>
    </row>
    <row r="9">
      <c r="A9" s="119"/>
      <c r="B9" s="247" t="s">
        <v>318</v>
      </c>
      <c r="C9" s="257" t="s">
        <v>319</v>
      </c>
      <c r="E9" s="249"/>
      <c r="F9" s="250"/>
      <c r="G9" s="251"/>
      <c r="H9" s="258"/>
      <c r="I9" s="259"/>
      <c r="J9" s="256"/>
      <c r="K9" s="123"/>
    </row>
    <row r="10">
      <c r="A10" s="119"/>
      <c r="B10" s="260" t="s">
        <v>320</v>
      </c>
      <c r="C10" s="261" t="s">
        <v>321</v>
      </c>
      <c r="E10" s="249"/>
      <c r="F10" s="250"/>
      <c r="G10" s="251"/>
      <c r="H10" s="252"/>
      <c r="I10" s="262"/>
      <c r="J10" s="263"/>
      <c r="K10" s="123"/>
    </row>
    <row r="11">
      <c r="A11" s="119"/>
      <c r="B11" s="260" t="s">
        <v>320</v>
      </c>
      <c r="C11" s="264" t="s">
        <v>322</v>
      </c>
      <c r="E11" s="265"/>
      <c r="F11" s="266"/>
      <c r="G11" s="267"/>
      <c r="H11" s="266"/>
      <c r="I11" s="268"/>
      <c r="J11" s="269"/>
      <c r="K11" s="123"/>
    </row>
    <row r="12">
      <c r="A12" s="119"/>
      <c r="B12" s="260" t="s">
        <v>320</v>
      </c>
      <c r="C12" s="261" t="s">
        <v>323</v>
      </c>
      <c r="E12" s="265"/>
      <c r="F12" s="266"/>
      <c r="G12" s="267"/>
      <c r="H12" s="266"/>
      <c r="I12" s="268"/>
      <c r="J12" s="269"/>
      <c r="K12" s="123"/>
    </row>
    <row r="13">
      <c r="A13" s="119"/>
      <c r="B13" s="260" t="s">
        <v>324</v>
      </c>
      <c r="C13" s="261" t="s">
        <v>325</v>
      </c>
      <c r="E13" s="265"/>
      <c r="F13" s="266"/>
      <c r="G13" s="267"/>
      <c r="H13" s="266"/>
      <c r="I13" s="268"/>
      <c r="J13" s="269"/>
      <c r="K13" s="123"/>
    </row>
    <row r="14">
      <c r="A14" s="119"/>
      <c r="B14" s="260" t="s">
        <v>36</v>
      </c>
      <c r="C14" s="264" t="s">
        <v>326</v>
      </c>
      <c r="E14" s="265"/>
      <c r="F14" s="266"/>
      <c r="G14" s="267"/>
      <c r="H14" s="266"/>
      <c r="I14" s="268"/>
      <c r="J14" s="269"/>
      <c r="K14" s="123"/>
    </row>
    <row r="15">
      <c r="A15" s="119"/>
      <c r="B15" s="270" t="s">
        <v>327</v>
      </c>
      <c r="C15" s="271"/>
      <c r="E15" s="265"/>
      <c r="F15" s="266"/>
      <c r="G15" s="267"/>
      <c r="H15" s="272" t="s">
        <v>328</v>
      </c>
      <c r="I15" s="268"/>
      <c r="J15" s="269"/>
      <c r="K15" s="123"/>
    </row>
    <row r="16">
      <c r="A16" s="119"/>
      <c r="B16" s="260" t="s">
        <v>329</v>
      </c>
      <c r="C16" s="261" t="s">
        <v>330</v>
      </c>
      <c r="E16" s="265"/>
      <c r="F16" s="266"/>
      <c r="G16" s="267"/>
      <c r="H16" s="266"/>
      <c r="I16" s="268"/>
      <c r="J16" s="269"/>
      <c r="K16" s="123"/>
    </row>
    <row r="17">
      <c r="A17" s="119"/>
      <c r="B17" s="260" t="s">
        <v>329</v>
      </c>
      <c r="C17" s="261" t="s">
        <v>331</v>
      </c>
      <c r="E17" s="265"/>
      <c r="F17" s="266"/>
      <c r="G17" s="267"/>
      <c r="H17" s="266"/>
      <c r="I17" s="268"/>
      <c r="J17" s="269"/>
      <c r="K17" s="123"/>
    </row>
    <row r="18">
      <c r="A18" s="119"/>
      <c r="B18" s="260" t="s">
        <v>332</v>
      </c>
      <c r="C18" s="273" t="s">
        <v>333</v>
      </c>
      <c r="E18" s="249"/>
      <c r="F18" s="250"/>
      <c r="G18" s="251"/>
      <c r="H18" s="274"/>
      <c r="I18" s="275"/>
      <c r="J18" s="263"/>
      <c r="K18" s="123"/>
    </row>
    <row r="19">
      <c r="A19" s="119"/>
      <c r="B19" s="260" t="s">
        <v>332</v>
      </c>
      <c r="C19" s="261" t="s">
        <v>334</v>
      </c>
      <c r="D19" s="276"/>
      <c r="E19" s="249"/>
      <c r="F19" s="250"/>
      <c r="G19" s="251"/>
      <c r="H19" s="277"/>
      <c r="I19" s="262"/>
      <c r="J19" s="256"/>
      <c r="K19" s="123"/>
    </row>
    <row r="20" ht="60.75" customHeight="1">
      <c r="A20" s="119"/>
      <c r="B20" s="278" t="s">
        <v>335</v>
      </c>
      <c r="C20" s="279" t="s">
        <v>336</v>
      </c>
      <c r="D20" s="276"/>
      <c r="E20" s="249"/>
      <c r="F20" s="250"/>
      <c r="G20" s="251"/>
      <c r="H20" s="252"/>
      <c r="I20" s="262"/>
      <c r="J20" s="256"/>
      <c r="K20" s="123"/>
    </row>
    <row r="21">
      <c r="A21" s="169"/>
      <c r="B21" s="280" t="s">
        <v>337</v>
      </c>
      <c r="C21" s="281" t="s">
        <v>338</v>
      </c>
      <c r="J21" s="126"/>
      <c r="K21" s="169"/>
    </row>
    <row r="22" ht="18.75" customHeight="1">
      <c r="A22" s="239"/>
      <c r="B22" s="235" t="s">
        <v>8</v>
      </c>
      <c r="C22" s="122"/>
      <c r="D22" s="236" t="s">
        <v>310</v>
      </c>
      <c r="E22" s="237" t="s">
        <v>311</v>
      </c>
      <c r="F22" s="237" t="s">
        <v>312</v>
      </c>
      <c r="G22" s="237" t="s">
        <v>9</v>
      </c>
      <c r="H22" s="237" t="s">
        <v>313</v>
      </c>
      <c r="I22" s="238" t="s">
        <v>12</v>
      </c>
      <c r="J22" s="238" t="s">
        <v>13</v>
      </c>
      <c r="K22" s="246"/>
    </row>
    <row r="23" ht="18.75" customHeight="1">
      <c r="A23" s="239"/>
      <c r="B23" s="282" t="s">
        <v>7</v>
      </c>
      <c r="C23" s="241" t="s">
        <v>339</v>
      </c>
      <c r="D23" s="283"/>
      <c r="E23" s="284"/>
      <c r="F23" s="284"/>
      <c r="G23" s="285">
        <f>sum(G24:G37)</f>
        <v>0</v>
      </c>
      <c r="H23" s="284"/>
      <c r="I23" s="286"/>
      <c r="J23" s="287"/>
      <c r="K23" s="246"/>
    </row>
    <row r="24">
      <c r="A24" s="239"/>
      <c r="B24" s="247" t="s">
        <v>315</v>
      </c>
      <c r="C24" s="248" t="s">
        <v>340</v>
      </c>
      <c r="E24" s="249"/>
      <c r="F24" s="250"/>
      <c r="G24" s="251"/>
      <c r="H24" s="252"/>
      <c r="I24" s="253"/>
      <c r="J24" s="254"/>
      <c r="K24" s="246"/>
    </row>
    <row r="25">
      <c r="A25" s="239"/>
      <c r="B25" s="247" t="s">
        <v>315</v>
      </c>
      <c r="C25" s="248" t="s">
        <v>341</v>
      </c>
      <c r="E25" s="249"/>
      <c r="F25" s="250"/>
      <c r="G25" s="251"/>
      <c r="H25" s="252"/>
      <c r="I25" s="255"/>
      <c r="J25" s="256"/>
      <c r="K25" s="246"/>
    </row>
    <row r="26">
      <c r="A26" s="239"/>
      <c r="B26" s="247" t="s">
        <v>318</v>
      </c>
      <c r="C26" s="257" t="s">
        <v>342</v>
      </c>
      <c r="E26" s="249"/>
      <c r="F26" s="250"/>
      <c r="G26" s="251"/>
      <c r="H26" s="258"/>
      <c r="I26" s="259"/>
      <c r="J26" s="256"/>
      <c r="K26" s="246"/>
    </row>
    <row r="27" ht="25.5" customHeight="1">
      <c r="A27" s="239"/>
      <c r="B27" s="260" t="s">
        <v>320</v>
      </c>
      <c r="C27" s="261" t="s">
        <v>343</v>
      </c>
      <c r="E27" s="265"/>
      <c r="F27" s="266"/>
      <c r="G27" s="288"/>
      <c r="H27" s="289"/>
      <c r="I27" s="259"/>
      <c r="J27" s="269"/>
      <c r="K27" s="246"/>
    </row>
    <row r="28">
      <c r="A28" s="239"/>
      <c r="B28" s="260" t="s">
        <v>320</v>
      </c>
      <c r="C28" s="264" t="s">
        <v>344</v>
      </c>
      <c r="E28" s="265"/>
      <c r="F28" s="266"/>
      <c r="G28" s="267"/>
      <c r="H28" s="266"/>
      <c r="I28" s="268"/>
      <c r="J28" s="269"/>
      <c r="K28" s="246"/>
    </row>
    <row r="29">
      <c r="A29" s="239"/>
      <c r="B29" s="260" t="s">
        <v>320</v>
      </c>
      <c r="C29" s="261" t="s">
        <v>345</v>
      </c>
      <c r="E29" s="249"/>
      <c r="F29" s="250"/>
      <c r="G29" s="251"/>
      <c r="H29" s="252"/>
      <c r="I29" s="262"/>
      <c r="J29" s="263"/>
      <c r="K29" s="246"/>
    </row>
    <row r="30">
      <c r="A30" s="239"/>
      <c r="B30" s="260" t="s">
        <v>324</v>
      </c>
      <c r="C30" s="261" t="s">
        <v>346</v>
      </c>
      <c r="E30" s="265"/>
      <c r="F30" s="266"/>
      <c r="G30" s="267"/>
      <c r="H30" s="266"/>
      <c r="I30" s="268"/>
      <c r="J30" s="269"/>
      <c r="K30" s="246"/>
    </row>
    <row r="31">
      <c r="A31" s="239"/>
      <c r="B31" s="260" t="s">
        <v>36</v>
      </c>
      <c r="C31" s="264" t="s">
        <v>347</v>
      </c>
      <c r="E31" s="265"/>
      <c r="F31" s="266"/>
      <c r="G31" s="267"/>
      <c r="H31" s="266"/>
      <c r="I31" s="268"/>
      <c r="J31" s="269"/>
      <c r="K31" s="246"/>
    </row>
    <row r="32">
      <c r="A32" s="239"/>
      <c r="B32" s="270" t="s">
        <v>348</v>
      </c>
      <c r="C32" s="271"/>
      <c r="E32" s="265"/>
      <c r="F32" s="266"/>
      <c r="G32" s="267"/>
      <c r="H32" s="266"/>
      <c r="I32" s="268"/>
      <c r="J32" s="269"/>
      <c r="K32" s="246"/>
    </row>
    <row r="33">
      <c r="A33" s="239"/>
      <c r="B33" s="260" t="s">
        <v>329</v>
      </c>
      <c r="C33" s="261" t="s">
        <v>349</v>
      </c>
      <c r="E33" s="265"/>
      <c r="F33" s="266"/>
      <c r="G33" s="267"/>
      <c r="H33" s="266"/>
      <c r="I33" s="268"/>
      <c r="J33" s="269"/>
      <c r="K33" s="246"/>
    </row>
    <row r="34">
      <c r="A34" s="239"/>
      <c r="B34" s="260" t="s">
        <v>329</v>
      </c>
      <c r="C34" s="261" t="s">
        <v>350</v>
      </c>
      <c r="E34" s="265"/>
      <c r="F34" s="266"/>
      <c r="G34" s="267"/>
      <c r="H34" s="266"/>
      <c r="I34" s="268"/>
      <c r="J34" s="269"/>
      <c r="K34" s="246"/>
    </row>
    <row r="35">
      <c r="A35" s="239"/>
      <c r="B35" s="260" t="s">
        <v>332</v>
      </c>
      <c r="C35" s="273" t="s">
        <v>351</v>
      </c>
      <c r="E35" s="265"/>
      <c r="F35" s="266"/>
      <c r="G35" s="267"/>
      <c r="H35" s="266"/>
      <c r="I35" s="268"/>
      <c r="J35" s="269"/>
      <c r="K35" s="246"/>
    </row>
    <row r="36">
      <c r="A36" s="239"/>
      <c r="B36" s="260" t="s">
        <v>332</v>
      </c>
      <c r="C36" s="261" t="s">
        <v>352</v>
      </c>
      <c r="E36" s="265"/>
      <c r="F36" s="266"/>
      <c r="G36" s="267"/>
      <c r="H36" s="266"/>
      <c r="I36" s="268"/>
      <c r="J36" s="269"/>
      <c r="K36" s="246"/>
    </row>
    <row r="37">
      <c r="A37" s="239"/>
      <c r="B37" s="278" t="s">
        <v>335</v>
      </c>
      <c r="C37" s="279" t="s">
        <v>353</v>
      </c>
      <c r="E37" s="265"/>
      <c r="F37" s="266"/>
      <c r="G37" s="267"/>
      <c r="H37" s="266"/>
      <c r="I37" s="268"/>
      <c r="J37" s="269"/>
      <c r="K37" s="246"/>
    </row>
    <row r="38">
      <c r="A38" s="290"/>
      <c r="B38" s="291"/>
      <c r="C38" s="292"/>
      <c r="D38" s="292"/>
      <c r="E38" s="293"/>
      <c r="F38" s="293"/>
      <c r="G38" s="293"/>
      <c r="H38" s="293"/>
      <c r="I38" s="294"/>
      <c r="J38" s="293"/>
      <c r="K38" s="290"/>
    </row>
    <row r="39">
      <c r="A39" s="295"/>
      <c r="B39" s="235" t="s">
        <v>8</v>
      </c>
      <c r="C39" s="122"/>
      <c r="D39" s="236" t="s">
        <v>310</v>
      </c>
      <c r="E39" s="237" t="s">
        <v>311</v>
      </c>
      <c r="F39" s="237" t="s">
        <v>312</v>
      </c>
      <c r="G39" s="237" t="s">
        <v>9</v>
      </c>
      <c r="H39" s="237" t="s">
        <v>313</v>
      </c>
      <c r="I39" s="238" t="s">
        <v>12</v>
      </c>
      <c r="J39" s="238" t="s">
        <v>13</v>
      </c>
      <c r="K39" s="295"/>
    </row>
    <row r="40">
      <c r="B40" s="282" t="s">
        <v>7</v>
      </c>
      <c r="C40" s="241" t="s">
        <v>354</v>
      </c>
      <c r="D40" s="283"/>
      <c r="E40" s="284"/>
      <c r="F40" s="284"/>
      <c r="G40" s="285">
        <f>sum(G41:G54)</f>
        <v>0</v>
      </c>
      <c r="H40" s="284"/>
      <c r="I40" s="286"/>
      <c r="J40" s="287"/>
    </row>
    <row r="41">
      <c r="B41" s="247" t="s">
        <v>315</v>
      </c>
      <c r="C41" s="248" t="s">
        <v>355</v>
      </c>
      <c r="E41" s="249"/>
      <c r="F41" s="250"/>
      <c r="G41" s="251"/>
      <c r="H41" s="252"/>
      <c r="I41" s="253"/>
      <c r="J41" s="254"/>
    </row>
    <row r="42">
      <c r="B42" s="247" t="s">
        <v>315</v>
      </c>
      <c r="C42" s="248" t="s">
        <v>356</v>
      </c>
      <c r="E42" s="249"/>
      <c r="F42" s="250"/>
      <c r="G42" s="251"/>
      <c r="H42" s="252"/>
      <c r="I42" s="255"/>
      <c r="J42" s="256"/>
    </row>
    <row r="43">
      <c r="B43" s="247" t="s">
        <v>318</v>
      </c>
      <c r="C43" s="257" t="s">
        <v>357</v>
      </c>
      <c r="E43" s="249"/>
      <c r="F43" s="250"/>
      <c r="G43" s="251"/>
      <c r="H43" s="258"/>
      <c r="I43" s="259"/>
      <c r="J43" s="256"/>
    </row>
    <row r="44">
      <c r="B44" s="260" t="s">
        <v>320</v>
      </c>
      <c r="C44" s="261" t="s">
        <v>358</v>
      </c>
      <c r="E44" s="265"/>
      <c r="F44" s="266"/>
      <c r="G44" s="288"/>
      <c r="H44" s="289"/>
      <c r="I44" s="259"/>
      <c r="J44" s="269"/>
    </row>
    <row r="45">
      <c r="B45" s="260" t="s">
        <v>320</v>
      </c>
      <c r="C45" s="264" t="s">
        <v>359</v>
      </c>
      <c r="E45" s="265"/>
      <c r="F45" s="266"/>
      <c r="G45" s="267"/>
      <c r="H45" s="266"/>
      <c r="I45" s="268"/>
      <c r="J45" s="269"/>
    </row>
    <row r="46">
      <c r="B46" s="260" t="s">
        <v>320</v>
      </c>
      <c r="C46" s="261" t="s">
        <v>360</v>
      </c>
      <c r="E46" s="249"/>
      <c r="F46" s="250"/>
      <c r="G46" s="251"/>
      <c r="H46" s="252"/>
      <c r="I46" s="262"/>
      <c r="J46" s="263"/>
    </row>
    <row r="47">
      <c r="B47" s="260" t="s">
        <v>324</v>
      </c>
      <c r="C47" s="261" t="s">
        <v>361</v>
      </c>
      <c r="E47" s="265"/>
      <c r="F47" s="266"/>
      <c r="G47" s="267"/>
      <c r="H47" s="266"/>
      <c r="I47" s="268"/>
      <c r="J47" s="269"/>
    </row>
    <row r="48">
      <c r="B48" s="260" t="s">
        <v>36</v>
      </c>
      <c r="C48" s="264" t="s">
        <v>362</v>
      </c>
      <c r="E48" s="265"/>
      <c r="F48" s="266"/>
      <c r="G48" s="267"/>
      <c r="H48" s="266"/>
      <c r="I48" s="268"/>
      <c r="J48" s="269"/>
    </row>
    <row r="49">
      <c r="B49" s="270" t="s">
        <v>363</v>
      </c>
      <c r="C49" s="271"/>
      <c r="E49" s="265"/>
      <c r="F49" s="266"/>
      <c r="G49" s="267"/>
      <c r="H49" s="266"/>
      <c r="I49" s="268"/>
      <c r="J49" s="269"/>
    </row>
    <row r="50">
      <c r="B50" s="260" t="s">
        <v>329</v>
      </c>
      <c r="C50" s="261" t="s">
        <v>364</v>
      </c>
      <c r="E50" s="265"/>
      <c r="F50" s="266"/>
      <c r="G50" s="267"/>
      <c r="H50" s="266"/>
      <c r="I50" s="268"/>
      <c r="J50" s="269"/>
    </row>
    <row r="51">
      <c r="B51" s="260" t="s">
        <v>329</v>
      </c>
      <c r="C51" s="261" t="s">
        <v>365</v>
      </c>
      <c r="E51" s="265"/>
      <c r="F51" s="266"/>
      <c r="G51" s="267"/>
      <c r="H51" s="266"/>
      <c r="I51" s="268"/>
      <c r="J51" s="269"/>
    </row>
    <row r="52">
      <c r="B52" s="260" t="s">
        <v>332</v>
      </c>
      <c r="C52" s="273" t="s">
        <v>366</v>
      </c>
      <c r="E52" s="265"/>
      <c r="F52" s="266"/>
      <c r="G52" s="267"/>
      <c r="H52" s="266"/>
      <c r="I52" s="268"/>
      <c r="J52" s="269"/>
    </row>
    <row r="53">
      <c r="B53" s="260" t="s">
        <v>332</v>
      </c>
      <c r="C53" s="261" t="s">
        <v>367</v>
      </c>
      <c r="E53" s="265"/>
      <c r="F53" s="266"/>
      <c r="G53" s="267"/>
      <c r="H53" s="266"/>
      <c r="I53" s="268"/>
      <c r="J53" s="269"/>
    </row>
    <row r="54">
      <c r="B54" s="278" t="s">
        <v>335</v>
      </c>
      <c r="C54" s="279" t="s">
        <v>368</v>
      </c>
      <c r="E54" s="265"/>
      <c r="F54" s="266"/>
      <c r="G54" s="267"/>
      <c r="H54" s="266"/>
      <c r="I54" s="268"/>
      <c r="J54" s="269"/>
    </row>
    <row r="55">
      <c r="B55" s="296"/>
      <c r="C55" s="297"/>
      <c r="E55" s="249"/>
      <c r="F55" s="250"/>
      <c r="G55" s="251"/>
      <c r="H55" s="252"/>
      <c r="I55" s="262"/>
      <c r="J55" s="252"/>
    </row>
    <row r="56">
      <c r="B56" s="296"/>
      <c r="C56" s="297"/>
      <c r="E56" s="249"/>
      <c r="F56" s="250"/>
      <c r="G56" s="251"/>
      <c r="H56" s="252"/>
      <c r="I56" s="262"/>
      <c r="J56" s="252"/>
    </row>
  </sheetData>
  <mergeCells count="11">
    <mergeCell ref="B22:C22"/>
    <mergeCell ref="B32:C32"/>
    <mergeCell ref="B39:C39"/>
    <mergeCell ref="B49:C49"/>
    <mergeCell ref="B1:C1"/>
    <mergeCell ref="E1:H1"/>
    <mergeCell ref="B2:J2"/>
    <mergeCell ref="B3:H3"/>
    <mergeCell ref="B5:C5"/>
    <mergeCell ref="B15:C15"/>
    <mergeCell ref="C21:J21"/>
  </mergeCells>
  <hyperlinks>
    <hyperlink display="Please indicate target customers in the 'Targets' Sheet" location="null!A1" ref="D4"/>
    <hyperlink r:id="rId2" ref="B21"/>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2.5"/>
    <col customWidth="1" min="2" max="2" width="3.63"/>
    <col customWidth="1" min="3" max="3" width="23.38"/>
    <col customWidth="1" min="4" max="4" width="22.63"/>
    <col customWidth="1" min="5" max="5" width="32.63"/>
    <col customWidth="1" min="6" max="6" width="25.88"/>
    <col customWidth="1" min="7" max="7" width="3.0"/>
  </cols>
  <sheetData>
    <row r="1">
      <c r="A1" s="298"/>
      <c r="B1" s="298"/>
      <c r="C1" s="298"/>
      <c r="D1" s="298"/>
      <c r="E1" s="298"/>
      <c r="F1" s="298"/>
      <c r="G1" s="299"/>
    </row>
    <row r="2" ht="24.75" customHeight="1">
      <c r="A2" s="300"/>
      <c r="B2" s="301" t="s">
        <v>369</v>
      </c>
      <c r="C2" s="116"/>
      <c r="D2" s="116"/>
      <c r="E2" s="116"/>
      <c r="F2" s="117"/>
      <c r="G2" s="290"/>
    </row>
    <row r="3" ht="24.75" customHeight="1">
      <c r="A3" s="302"/>
      <c r="B3" s="303" t="s">
        <v>370</v>
      </c>
      <c r="C3" s="121"/>
      <c r="D3" s="304" t="s">
        <v>371</v>
      </c>
      <c r="E3" s="304" t="s">
        <v>372</v>
      </c>
      <c r="F3" s="305" t="s">
        <v>373</v>
      </c>
      <c r="G3" s="123"/>
    </row>
    <row r="4">
      <c r="A4" s="124"/>
      <c r="B4" s="306">
        <v>1.0</v>
      </c>
      <c r="D4" s="307"/>
      <c r="F4" s="308"/>
      <c r="G4" s="123"/>
    </row>
    <row r="5">
      <c r="A5" s="124"/>
      <c r="B5" s="306">
        <v>2.0</v>
      </c>
      <c r="D5" s="307"/>
      <c r="F5" s="308"/>
      <c r="G5" s="123"/>
    </row>
    <row r="6">
      <c r="A6" s="124"/>
      <c r="B6" s="306">
        <v>3.0</v>
      </c>
      <c r="D6" s="307"/>
      <c r="F6" s="308"/>
      <c r="G6" s="123"/>
    </row>
    <row r="7">
      <c r="A7" s="124"/>
      <c r="B7" s="306">
        <v>4.0</v>
      </c>
      <c r="D7" s="307"/>
      <c r="F7" s="308"/>
      <c r="G7" s="123"/>
    </row>
    <row r="8">
      <c r="A8" s="124"/>
      <c r="B8" s="306">
        <v>5.0</v>
      </c>
      <c r="D8" s="307"/>
      <c r="F8" s="308"/>
      <c r="G8" s="123"/>
    </row>
    <row r="9">
      <c r="A9" s="124"/>
      <c r="B9" s="306">
        <v>6.0</v>
      </c>
      <c r="D9" s="307"/>
      <c r="F9" s="308"/>
      <c r="G9" s="123"/>
    </row>
    <row r="10">
      <c r="A10" s="124"/>
      <c r="B10" s="306">
        <v>7.0</v>
      </c>
      <c r="D10" s="307"/>
      <c r="F10" s="308"/>
      <c r="G10" s="123"/>
    </row>
    <row r="11">
      <c r="A11" s="124"/>
      <c r="B11" s="306">
        <v>8.0</v>
      </c>
      <c r="D11" s="307"/>
      <c r="F11" s="308"/>
      <c r="G11" s="123"/>
    </row>
    <row r="12">
      <c r="A12" s="124"/>
      <c r="B12" s="306">
        <v>9.0</v>
      </c>
      <c r="D12" s="307"/>
      <c r="F12" s="308"/>
      <c r="G12" s="123"/>
    </row>
    <row r="13">
      <c r="A13" s="124"/>
      <c r="B13" s="306">
        <v>10.0</v>
      </c>
      <c r="D13" s="307"/>
      <c r="F13" s="308"/>
      <c r="G13" s="123"/>
    </row>
    <row r="14">
      <c r="A14" s="124"/>
      <c r="B14" s="306">
        <v>11.0</v>
      </c>
      <c r="D14" s="307"/>
      <c r="F14" s="308"/>
      <c r="G14" s="123"/>
    </row>
    <row r="15">
      <c r="A15" s="124"/>
      <c r="B15" s="306">
        <v>12.0</v>
      </c>
      <c r="D15" s="307"/>
      <c r="F15" s="308"/>
      <c r="G15" s="123"/>
    </row>
    <row r="16">
      <c r="A16" s="124"/>
      <c r="B16" s="306">
        <v>13.0</v>
      </c>
      <c r="D16" s="307"/>
      <c r="F16" s="308"/>
      <c r="G16" s="123"/>
    </row>
    <row r="17">
      <c r="A17" s="124"/>
      <c r="B17" s="306">
        <v>14.0</v>
      </c>
      <c r="D17" s="307"/>
      <c r="F17" s="308"/>
      <c r="G17" s="123"/>
    </row>
    <row r="18">
      <c r="A18" s="124"/>
      <c r="B18" s="306">
        <v>15.0</v>
      </c>
      <c r="D18" s="307"/>
      <c r="F18" s="308"/>
      <c r="G18" s="123"/>
    </row>
    <row r="19">
      <c r="A19" s="124"/>
      <c r="B19" s="306">
        <v>16.0</v>
      </c>
      <c r="D19" s="307"/>
      <c r="F19" s="308"/>
      <c r="G19" s="123"/>
    </row>
    <row r="20">
      <c r="A20" s="124"/>
      <c r="B20" s="306">
        <v>17.0</v>
      </c>
      <c r="D20" s="307"/>
      <c r="F20" s="308"/>
      <c r="G20" s="123"/>
    </row>
    <row r="21">
      <c r="A21" s="124"/>
      <c r="B21" s="306">
        <v>18.0</v>
      </c>
      <c r="D21" s="307"/>
      <c r="F21" s="308"/>
      <c r="G21" s="123"/>
    </row>
    <row r="22">
      <c r="A22" s="124"/>
      <c r="B22" s="306">
        <v>19.0</v>
      </c>
      <c r="D22" s="307"/>
      <c r="F22" s="308"/>
      <c r="G22" s="123"/>
    </row>
    <row r="23">
      <c r="A23" s="124"/>
      <c r="B23" s="306">
        <v>20.0</v>
      </c>
      <c r="D23" s="307"/>
      <c r="F23" s="308"/>
      <c r="G23" s="123"/>
    </row>
    <row r="24">
      <c r="A24" s="124"/>
      <c r="B24" s="306">
        <v>21.0</v>
      </c>
      <c r="D24" s="307"/>
      <c r="F24" s="308"/>
      <c r="G24" s="123"/>
    </row>
    <row r="25">
      <c r="A25" s="124"/>
      <c r="B25" s="306">
        <v>22.0</v>
      </c>
      <c r="D25" s="307"/>
      <c r="F25" s="308"/>
      <c r="G25" s="123"/>
    </row>
    <row r="26">
      <c r="A26" s="124"/>
      <c r="B26" s="306">
        <v>23.0</v>
      </c>
      <c r="D26" s="307"/>
      <c r="F26" s="308"/>
      <c r="G26" s="123"/>
    </row>
    <row r="27">
      <c r="A27" s="124"/>
      <c r="B27" s="306">
        <v>24.0</v>
      </c>
      <c r="D27" s="307"/>
      <c r="F27" s="308"/>
      <c r="G27" s="123"/>
    </row>
    <row r="28">
      <c r="A28" s="124"/>
      <c r="B28" s="306">
        <v>25.0</v>
      </c>
      <c r="D28" s="307"/>
      <c r="F28" s="308"/>
      <c r="G28" s="123"/>
    </row>
    <row r="29">
      <c r="A29" s="124"/>
      <c r="B29" s="306">
        <v>26.0</v>
      </c>
      <c r="D29" s="307"/>
      <c r="F29" s="308"/>
      <c r="G29" s="123"/>
    </row>
    <row r="30">
      <c r="A30" s="124"/>
      <c r="B30" s="306">
        <v>27.0</v>
      </c>
      <c r="D30" s="307"/>
      <c r="F30" s="308"/>
      <c r="G30" s="123"/>
    </row>
    <row r="31">
      <c r="A31" s="124"/>
      <c r="B31" s="306">
        <v>28.0</v>
      </c>
      <c r="D31" s="307"/>
      <c r="F31" s="308"/>
      <c r="G31" s="123"/>
    </row>
    <row r="32">
      <c r="A32" s="124"/>
      <c r="B32" s="306">
        <v>29.0</v>
      </c>
      <c r="D32" s="307"/>
      <c r="F32" s="308"/>
      <c r="G32" s="123"/>
    </row>
    <row r="33">
      <c r="A33" s="124"/>
      <c r="B33" s="309">
        <v>30.0</v>
      </c>
      <c r="C33" s="276"/>
      <c r="D33" s="310"/>
      <c r="E33" s="276"/>
      <c r="F33" s="311"/>
      <c r="G33" s="123"/>
    </row>
    <row r="34">
      <c r="A34" s="169"/>
      <c r="B34" s="299"/>
      <c r="C34" s="299"/>
      <c r="D34" s="299"/>
      <c r="E34" s="299"/>
      <c r="F34" s="299"/>
      <c r="G34" s="169"/>
    </row>
  </sheetData>
  <mergeCells count="2">
    <mergeCell ref="B2:F2"/>
    <mergeCell ref="B3:C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2.13"/>
    <col customWidth="1" min="2" max="2" width="8.25"/>
    <col customWidth="1" min="3" max="3" width="63.5"/>
    <col customWidth="1" hidden="1" min="4" max="4" width="18.75"/>
    <col customWidth="1" min="8" max="8" width="16.63"/>
    <col customWidth="1" min="9" max="9" width="31.38"/>
    <col customWidth="1" min="10" max="10" width="39.88"/>
    <col customWidth="1" min="11" max="11" width="3.25"/>
  </cols>
  <sheetData>
    <row r="1" ht="30.0" customHeight="1">
      <c r="A1" s="219"/>
      <c r="B1" s="222" t="s">
        <v>374</v>
      </c>
      <c r="C1" s="21"/>
      <c r="D1" s="221"/>
      <c r="E1" s="222" t="s">
        <v>375</v>
      </c>
      <c r="F1" s="20"/>
      <c r="G1" s="20"/>
      <c r="H1" s="21"/>
      <c r="I1" s="224"/>
      <c r="J1" s="224"/>
      <c r="K1" s="225"/>
    </row>
    <row r="2" ht="22.5" customHeight="1">
      <c r="A2" s="169"/>
      <c r="B2" s="312" t="s">
        <v>376</v>
      </c>
      <c r="C2" s="20"/>
      <c r="D2" s="20"/>
      <c r="E2" s="20"/>
      <c r="F2" s="20"/>
      <c r="G2" s="20"/>
      <c r="H2" s="20"/>
      <c r="I2" s="20"/>
      <c r="J2" s="21"/>
      <c r="K2" s="227"/>
    </row>
    <row r="3" ht="26.25" customHeight="1">
      <c r="A3" s="114"/>
      <c r="B3" s="313" t="s">
        <v>377</v>
      </c>
      <c r="C3" s="20"/>
      <c r="D3" s="20"/>
      <c r="E3" s="20"/>
      <c r="F3" s="20"/>
      <c r="G3" s="20"/>
      <c r="H3" s="21"/>
      <c r="I3" s="314" t="s">
        <v>378</v>
      </c>
      <c r="J3" s="314" t="s">
        <v>379</v>
      </c>
      <c r="K3" s="227"/>
    </row>
    <row r="4" ht="9.75" customHeight="1">
      <c r="A4" s="169"/>
      <c r="B4" s="315"/>
      <c r="C4" s="233"/>
      <c r="D4" s="232" t="s">
        <v>309</v>
      </c>
      <c r="E4" s="233"/>
      <c r="F4" s="233"/>
      <c r="G4" s="233"/>
      <c r="H4" s="233"/>
      <c r="I4" s="233"/>
      <c r="J4" s="233"/>
      <c r="K4" s="227"/>
    </row>
    <row r="5">
      <c r="A5" s="124"/>
      <c r="B5" s="316" t="s">
        <v>8</v>
      </c>
      <c r="C5" s="146"/>
      <c r="D5" s="317" t="s">
        <v>310</v>
      </c>
      <c r="E5" s="318" t="s">
        <v>311</v>
      </c>
      <c r="F5" s="318" t="s">
        <v>312</v>
      </c>
      <c r="G5" s="318" t="s">
        <v>9</v>
      </c>
      <c r="H5" s="318" t="s">
        <v>313</v>
      </c>
      <c r="I5" s="319" t="s">
        <v>12</v>
      </c>
      <c r="J5" s="319" t="s">
        <v>13</v>
      </c>
      <c r="K5" s="123"/>
    </row>
    <row r="6" ht="18.75" customHeight="1">
      <c r="A6" s="239"/>
      <c r="B6" s="320" t="s">
        <v>7</v>
      </c>
      <c r="C6" s="321" t="s">
        <v>380</v>
      </c>
      <c r="D6" s="322"/>
      <c r="E6" s="322"/>
      <c r="F6" s="322"/>
      <c r="G6" s="323">
        <f>sum(G7:G20)</f>
        <v>30000</v>
      </c>
      <c r="H6" s="322"/>
      <c r="I6" s="322"/>
      <c r="J6" s="324"/>
      <c r="K6" s="246"/>
    </row>
    <row r="7">
      <c r="A7" s="119"/>
      <c r="B7" s="325" t="s">
        <v>315</v>
      </c>
      <c r="C7" s="326" t="s">
        <v>381</v>
      </c>
      <c r="E7" s="327">
        <v>45809.0</v>
      </c>
      <c r="F7" s="328">
        <f t="shared" ref="F7:F8" si="1">E7+5</f>
        <v>45814</v>
      </c>
      <c r="G7" s="329">
        <v>2500.0</v>
      </c>
      <c r="H7" s="330" t="s">
        <v>382</v>
      </c>
      <c r="I7" s="331" t="s">
        <v>383</v>
      </c>
      <c r="J7" s="332"/>
      <c r="K7" s="123"/>
    </row>
    <row r="8">
      <c r="A8" s="119"/>
      <c r="B8" s="325" t="s">
        <v>315</v>
      </c>
      <c r="C8" s="326" t="s">
        <v>384</v>
      </c>
      <c r="E8" s="327">
        <v>45809.0</v>
      </c>
      <c r="F8" s="328">
        <f t="shared" si="1"/>
        <v>45814</v>
      </c>
      <c r="G8" s="329">
        <f>400*4*2</f>
        <v>3200</v>
      </c>
      <c r="H8" s="330" t="s">
        <v>385</v>
      </c>
      <c r="I8" s="331" t="s">
        <v>386</v>
      </c>
      <c r="J8" s="332"/>
      <c r="K8" s="123"/>
    </row>
    <row r="9">
      <c r="A9" s="119"/>
      <c r="B9" s="325" t="s">
        <v>315</v>
      </c>
      <c r="C9" s="333" t="s">
        <v>387</v>
      </c>
      <c r="E9" s="327"/>
      <c r="F9" s="328"/>
      <c r="G9" s="329"/>
      <c r="H9" s="330"/>
      <c r="I9" s="334"/>
      <c r="J9" s="332"/>
      <c r="K9" s="123"/>
    </row>
    <row r="10">
      <c r="A10" s="119"/>
      <c r="B10" s="325" t="s">
        <v>318</v>
      </c>
      <c r="C10" s="326" t="s">
        <v>388</v>
      </c>
      <c r="E10" s="327">
        <v>45810.0</v>
      </c>
      <c r="F10" s="328">
        <v>45813.0</v>
      </c>
      <c r="G10" s="329">
        <v>4500.0</v>
      </c>
      <c r="H10" s="330" t="s">
        <v>389</v>
      </c>
      <c r="I10" s="335" t="s">
        <v>390</v>
      </c>
      <c r="J10" s="332" t="s">
        <v>391</v>
      </c>
      <c r="K10" s="123"/>
    </row>
    <row r="11">
      <c r="A11" s="119"/>
      <c r="B11" s="336" t="s">
        <v>320</v>
      </c>
      <c r="C11" s="333" t="s">
        <v>392</v>
      </c>
      <c r="E11" s="327">
        <v>45778.0</v>
      </c>
      <c r="F11" s="328">
        <v>45808.0</v>
      </c>
      <c r="G11" s="329">
        <v>1000.0</v>
      </c>
      <c r="H11" s="330" t="s">
        <v>393</v>
      </c>
      <c r="I11" s="337" t="s">
        <v>394</v>
      </c>
      <c r="J11" s="332" t="s">
        <v>395</v>
      </c>
      <c r="K11" s="123"/>
    </row>
    <row r="12">
      <c r="A12" s="119"/>
      <c r="B12" s="336" t="s">
        <v>320</v>
      </c>
      <c r="C12" s="333" t="s">
        <v>396</v>
      </c>
      <c r="E12" s="327">
        <v>45792.0</v>
      </c>
      <c r="F12" s="328">
        <v>45808.0</v>
      </c>
      <c r="G12" s="329">
        <v>3000.0</v>
      </c>
      <c r="H12" s="330" t="s">
        <v>397</v>
      </c>
      <c r="I12" s="337" t="s">
        <v>398</v>
      </c>
      <c r="J12" s="332" t="s">
        <v>399</v>
      </c>
      <c r="K12" s="123"/>
    </row>
    <row r="13">
      <c r="A13" s="119"/>
      <c r="B13" s="336" t="s">
        <v>320</v>
      </c>
      <c r="C13" s="333" t="s">
        <v>400</v>
      </c>
      <c r="E13" s="338" t="s">
        <v>401</v>
      </c>
      <c r="F13" s="339"/>
      <c r="G13" s="340"/>
      <c r="H13" s="339"/>
      <c r="I13" s="341"/>
      <c r="J13" s="342"/>
      <c r="K13" s="123"/>
    </row>
    <row r="14">
      <c r="A14" s="119"/>
      <c r="B14" s="336" t="s">
        <v>324</v>
      </c>
      <c r="C14" s="333" t="s">
        <v>402</v>
      </c>
      <c r="E14" s="338" t="s">
        <v>401</v>
      </c>
      <c r="F14" s="339"/>
      <c r="G14" s="340"/>
      <c r="H14" s="339"/>
      <c r="I14" s="343"/>
      <c r="J14" s="342"/>
      <c r="K14" s="123"/>
    </row>
    <row r="15">
      <c r="A15" s="119"/>
      <c r="B15" s="336" t="s">
        <v>36</v>
      </c>
      <c r="C15" s="333" t="s">
        <v>403</v>
      </c>
      <c r="E15" s="327">
        <v>44228.0</v>
      </c>
      <c r="F15" s="328">
        <v>44286.0</v>
      </c>
      <c r="G15" s="329">
        <v>3800.0</v>
      </c>
      <c r="H15" s="330" t="s">
        <v>404</v>
      </c>
      <c r="I15" s="338" t="s">
        <v>405</v>
      </c>
      <c r="J15" s="332" t="s">
        <v>406</v>
      </c>
      <c r="K15" s="123"/>
    </row>
    <row r="16">
      <c r="A16" s="119"/>
      <c r="B16" s="344" t="s">
        <v>407</v>
      </c>
      <c r="C16" s="345"/>
      <c r="E16" s="343"/>
      <c r="F16" s="339"/>
      <c r="G16" s="340"/>
      <c r="H16" s="339"/>
      <c r="I16" s="343"/>
      <c r="J16" s="342"/>
      <c r="K16" s="123"/>
    </row>
    <row r="17">
      <c r="A17" s="119"/>
      <c r="B17" s="336" t="s">
        <v>329</v>
      </c>
      <c r="C17" s="333" t="s">
        <v>408</v>
      </c>
      <c r="E17" s="338" t="s">
        <v>401</v>
      </c>
      <c r="F17" s="339"/>
      <c r="G17" s="340"/>
      <c r="H17" s="339"/>
      <c r="I17" s="343"/>
      <c r="J17" s="342"/>
      <c r="K17" s="123"/>
    </row>
    <row r="18">
      <c r="A18" s="119"/>
      <c r="B18" s="336" t="s">
        <v>332</v>
      </c>
      <c r="C18" s="333" t="s">
        <v>409</v>
      </c>
      <c r="E18" s="343"/>
      <c r="F18" s="339"/>
      <c r="G18" s="340"/>
      <c r="H18" s="339"/>
      <c r="I18" s="343"/>
      <c r="J18" s="342"/>
      <c r="K18" s="123"/>
    </row>
    <row r="19">
      <c r="A19" s="119"/>
      <c r="B19" s="336" t="s">
        <v>332</v>
      </c>
      <c r="C19" s="333" t="s">
        <v>410</v>
      </c>
      <c r="E19" s="327">
        <v>44211.0</v>
      </c>
      <c r="F19" s="328">
        <v>44377.0</v>
      </c>
      <c r="G19" s="329">
        <v>6000.0</v>
      </c>
      <c r="H19" s="330" t="s">
        <v>411</v>
      </c>
      <c r="I19" s="338" t="s">
        <v>412</v>
      </c>
      <c r="J19" s="332" t="s">
        <v>413</v>
      </c>
      <c r="K19" s="123"/>
    </row>
    <row r="20">
      <c r="A20" s="119"/>
      <c r="B20" s="346" t="s">
        <v>335</v>
      </c>
      <c r="C20" s="347" t="s">
        <v>414</v>
      </c>
      <c r="E20" s="348">
        <v>45017.0</v>
      </c>
      <c r="F20" s="349">
        <v>45107.0</v>
      </c>
      <c r="G20" s="350">
        <v>6000.0</v>
      </c>
      <c r="H20" s="351" t="s">
        <v>415</v>
      </c>
      <c r="I20" s="352" t="s">
        <v>416</v>
      </c>
      <c r="J20" s="353"/>
      <c r="K20" s="123"/>
    </row>
    <row r="21" ht="7.5" hidden="1" customHeight="1">
      <c r="A21" s="169"/>
      <c r="B21" s="354"/>
      <c r="C21" s="355"/>
      <c r="D21" s="355"/>
      <c r="E21" s="355"/>
      <c r="F21" s="355"/>
      <c r="G21" s="355"/>
      <c r="H21" s="355"/>
      <c r="I21" s="356"/>
      <c r="J21" s="355"/>
      <c r="K21" s="169"/>
    </row>
    <row r="22" ht="18.75" hidden="1" customHeight="1">
      <c r="A22" s="239"/>
      <c r="B22" s="320" t="s">
        <v>7</v>
      </c>
      <c r="C22" s="321" t="s">
        <v>417</v>
      </c>
      <c r="D22" s="322"/>
      <c r="E22" s="322"/>
      <c r="F22" s="322"/>
      <c r="G22" s="323">
        <f>sum(G23:G35)</f>
        <v>0</v>
      </c>
      <c r="H22" s="322"/>
      <c r="I22" s="322"/>
      <c r="J22" s="324"/>
      <c r="K22" s="246"/>
    </row>
    <row r="23" ht="15.75" hidden="1" customHeight="1">
      <c r="A23" s="239"/>
      <c r="B23" s="325" t="s">
        <v>318</v>
      </c>
      <c r="C23" s="326" t="s">
        <v>418</v>
      </c>
      <c r="E23" s="265"/>
      <c r="F23" s="266"/>
      <c r="G23" s="265"/>
      <c r="H23" s="266"/>
      <c r="I23" s="265"/>
      <c r="J23" s="357"/>
      <c r="K23" s="246"/>
    </row>
    <row r="24" ht="15.75" hidden="1" customHeight="1">
      <c r="A24" s="239"/>
      <c r="B24" s="336" t="s">
        <v>320</v>
      </c>
      <c r="C24" s="333" t="s">
        <v>419</v>
      </c>
      <c r="E24" s="265"/>
      <c r="F24" s="266"/>
      <c r="G24" s="265"/>
      <c r="H24" s="266"/>
      <c r="I24" s="265"/>
      <c r="J24" s="357"/>
      <c r="K24" s="246"/>
    </row>
    <row r="25" ht="15.75" hidden="1" customHeight="1">
      <c r="A25" s="239"/>
      <c r="B25" s="336" t="s">
        <v>320</v>
      </c>
      <c r="C25" s="333" t="s">
        <v>420</v>
      </c>
      <c r="E25" s="265"/>
      <c r="F25" s="266"/>
      <c r="G25" s="265"/>
      <c r="H25" s="266"/>
      <c r="I25" s="265"/>
      <c r="J25" s="357"/>
      <c r="K25" s="246"/>
    </row>
    <row r="26" ht="15.75" hidden="1" customHeight="1">
      <c r="A26" s="239"/>
      <c r="B26" s="336" t="s">
        <v>320</v>
      </c>
      <c r="C26" s="333" t="s">
        <v>421</v>
      </c>
      <c r="E26" s="265"/>
      <c r="F26" s="266"/>
      <c r="G26" s="265"/>
      <c r="H26" s="266"/>
      <c r="I26" s="265"/>
      <c r="J26" s="357"/>
      <c r="K26" s="246"/>
    </row>
    <row r="27" ht="15.75" hidden="1" customHeight="1">
      <c r="A27" s="239"/>
      <c r="B27" s="336" t="s">
        <v>320</v>
      </c>
      <c r="C27" s="333" t="s">
        <v>422</v>
      </c>
      <c r="E27" s="265"/>
      <c r="F27" s="266"/>
      <c r="G27" s="265"/>
      <c r="H27" s="266"/>
      <c r="I27" s="265"/>
      <c r="J27" s="357"/>
      <c r="K27" s="246"/>
    </row>
    <row r="28" ht="15.75" hidden="1" customHeight="1">
      <c r="A28" s="239"/>
      <c r="B28" s="336" t="s">
        <v>324</v>
      </c>
      <c r="C28" s="333" t="s">
        <v>402</v>
      </c>
      <c r="E28" s="265"/>
      <c r="F28" s="266"/>
      <c r="G28" s="265"/>
      <c r="H28" s="266"/>
      <c r="I28" s="265"/>
      <c r="J28" s="357"/>
      <c r="K28" s="246"/>
    </row>
    <row r="29" ht="15.75" hidden="1" customHeight="1">
      <c r="A29" s="239"/>
      <c r="B29" s="336" t="s">
        <v>36</v>
      </c>
      <c r="C29" s="333" t="s">
        <v>423</v>
      </c>
      <c r="E29" s="265"/>
      <c r="F29" s="266"/>
      <c r="G29" s="265"/>
      <c r="H29" s="266"/>
      <c r="I29" s="265"/>
      <c r="J29" s="357"/>
      <c r="K29" s="246"/>
    </row>
    <row r="30" ht="15.75" hidden="1" customHeight="1">
      <c r="A30" s="239"/>
      <c r="B30" s="344" t="s">
        <v>424</v>
      </c>
      <c r="C30" s="345"/>
      <c r="E30" s="265"/>
      <c r="F30" s="266"/>
      <c r="G30" s="265"/>
      <c r="H30" s="266"/>
      <c r="I30" s="265"/>
      <c r="J30" s="357"/>
      <c r="K30" s="246"/>
    </row>
    <row r="31" ht="15.75" hidden="1" customHeight="1">
      <c r="A31" s="239"/>
      <c r="B31" s="336" t="s">
        <v>329</v>
      </c>
      <c r="C31" s="333" t="s">
        <v>408</v>
      </c>
      <c r="E31" s="265"/>
      <c r="F31" s="266"/>
      <c r="G31" s="265"/>
      <c r="H31" s="266"/>
      <c r="I31" s="265"/>
      <c r="J31" s="357"/>
      <c r="K31" s="246"/>
    </row>
    <row r="32" ht="15.75" hidden="1" customHeight="1">
      <c r="A32" s="239"/>
      <c r="B32" s="336" t="s">
        <v>329</v>
      </c>
      <c r="C32" s="333" t="s">
        <v>425</v>
      </c>
      <c r="E32" s="265"/>
      <c r="F32" s="266"/>
      <c r="G32" s="265"/>
      <c r="H32" s="266"/>
      <c r="I32" s="265"/>
      <c r="J32" s="357"/>
      <c r="K32" s="246"/>
    </row>
    <row r="33" ht="15.75" hidden="1" customHeight="1">
      <c r="A33" s="239"/>
      <c r="B33" s="336" t="s">
        <v>329</v>
      </c>
      <c r="C33" s="333" t="s">
        <v>426</v>
      </c>
      <c r="E33" s="265"/>
      <c r="F33" s="266"/>
      <c r="G33" s="265"/>
      <c r="H33" s="266"/>
      <c r="I33" s="265"/>
      <c r="J33" s="357"/>
      <c r="K33" s="246"/>
    </row>
    <row r="34" ht="15.75" hidden="1" customHeight="1">
      <c r="A34" s="239"/>
      <c r="B34" s="336" t="s">
        <v>332</v>
      </c>
      <c r="C34" s="333" t="s">
        <v>409</v>
      </c>
      <c r="E34" s="265"/>
      <c r="F34" s="266"/>
      <c r="G34" s="265"/>
      <c r="H34" s="266"/>
      <c r="I34" s="265"/>
      <c r="J34" s="357"/>
      <c r="K34" s="246"/>
    </row>
    <row r="35" ht="15.75" hidden="1" customHeight="1">
      <c r="A35" s="239"/>
      <c r="B35" s="346" t="s">
        <v>332</v>
      </c>
      <c r="C35" s="347" t="s">
        <v>410</v>
      </c>
      <c r="D35" s="358"/>
      <c r="E35" s="359"/>
      <c r="F35" s="360"/>
      <c r="G35" s="359"/>
      <c r="H35" s="360"/>
      <c r="I35" s="359"/>
      <c r="J35" s="361"/>
      <c r="K35" s="246"/>
    </row>
    <row r="36" ht="7.5" hidden="1" customHeight="1">
      <c r="A36" s="290"/>
      <c r="B36" s="291"/>
      <c r="C36" s="292"/>
      <c r="D36" s="292"/>
      <c r="E36" s="292"/>
      <c r="F36" s="292"/>
      <c r="G36" s="292"/>
      <c r="H36" s="292"/>
      <c r="I36" s="362"/>
      <c r="J36" s="292"/>
      <c r="K36" s="290"/>
    </row>
    <row r="37" ht="18.75" hidden="1" customHeight="1">
      <c r="A37" s="239"/>
      <c r="B37" s="320" t="s">
        <v>7</v>
      </c>
      <c r="C37" s="321" t="s">
        <v>427</v>
      </c>
      <c r="D37" s="322"/>
      <c r="E37" s="322"/>
      <c r="F37" s="322"/>
      <c r="G37" s="323">
        <f>sum(G38:G50)</f>
        <v>0</v>
      </c>
      <c r="H37" s="322"/>
      <c r="I37" s="322"/>
      <c r="J37" s="324"/>
      <c r="K37" s="246"/>
    </row>
    <row r="38" ht="15.75" hidden="1" customHeight="1">
      <c r="A38" s="239"/>
      <c r="B38" s="325" t="s">
        <v>318</v>
      </c>
      <c r="C38" s="326" t="s">
        <v>418</v>
      </c>
      <c r="E38" s="265"/>
      <c r="F38" s="266"/>
      <c r="G38" s="265"/>
      <c r="H38" s="266"/>
      <c r="I38" s="265"/>
      <c r="J38" s="357"/>
      <c r="K38" s="246"/>
    </row>
    <row r="39" ht="15.75" hidden="1" customHeight="1">
      <c r="A39" s="239"/>
      <c r="B39" s="336" t="s">
        <v>320</v>
      </c>
      <c r="C39" s="333" t="s">
        <v>419</v>
      </c>
      <c r="E39" s="265"/>
      <c r="F39" s="266"/>
      <c r="G39" s="265"/>
      <c r="H39" s="266"/>
      <c r="I39" s="265"/>
      <c r="J39" s="357"/>
      <c r="K39" s="246"/>
    </row>
    <row r="40" ht="15.75" hidden="1" customHeight="1">
      <c r="A40" s="239"/>
      <c r="B40" s="336" t="s">
        <v>320</v>
      </c>
      <c r="C40" s="333" t="s">
        <v>420</v>
      </c>
      <c r="E40" s="265"/>
      <c r="F40" s="266"/>
      <c r="G40" s="265"/>
      <c r="H40" s="266"/>
      <c r="I40" s="265"/>
      <c r="J40" s="357"/>
      <c r="K40" s="246"/>
    </row>
    <row r="41" ht="15.75" hidden="1" customHeight="1">
      <c r="A41" s="239"/>
      <c r="B41" s="336" t="s">
        <v>320</v>
      </c>
      <c r="C41" s="333" t="s">
        <v>421</v>
      </c>
      <c r="E41" s="265"/>
      <c r="F41" s="266"/>
      <c r="G41" s="265"/>
      <c r="H41" s="266"/>
      <c r="I41" s="265"/>
      <c r="J41" s="357"/>
      <c r="K41" s="246"/>
    </row>
    <row r="42" ht="15.75" hidden="1" customHeight="1">
      <c r="A42" s="239"/>
      <c r="B42" s="336" t="s">
        <v>320</v>
      </c>
      <c r="C42" s="333" t="s">
        <v>428</v>
      </c>
      <c r="E42" s="265"/>
      <c r="F42" s="266"/>
      <c r="G42" s="265"/>
      <c r="H42" s="266"/>
      <c r="I42" s="265"/>
      <c r="J42" s="357"/>
      <c r="K42" s="246"/>
    </row>
    <row r="43" ht="15.75" hidden="1" customHeight="1">
      <c r="A43" s="239"/>
      <c r="B43" s="336" t="s">
        <v>324</v>
      </c>
      <c r="C43" s="333" t="s">
        <v>402</v>
      </c>
      <c r="E43" s="265"/>
      <c r="F43" s="266"/>
      <c r="G43" s="265"/>
      <c r="H43" s="266"/>
      <c r="I43" s="265"/>
      <c r="J43" s="357"/>
      <c r="K43" s="246"/>
    </row>
    <row r="44" ht="15.75" hidden="1" customHeight="1">
      <c r="A44" s="239"/>
      <c r="B44" s="336" t="s">
        <v>36</v>
      </c>
      <c r="C44" s="333" t="s">
        <v>423</v>
      </c>
      <c r="E44" s="265"/>
      <c r="F44" s="266"/>
      <c r="G44" s="265"/>
      <c r="H44" s="266"/>
      <c r="I44" s="265"/>
      <c r="J44" s="357"/>
      <c r="K44" s="246"/>
    </row>
    <row r="45" ht="15.75" hidden="1" customHeight="1">
      <c r="A45" s="239"/>
      <c r="B45" s="336"/>
      <c r="C45" s="333" t="s">
        <v>429</v>
      </c>
      <c r="E45" s="265"/>
      <c r="F45" s="266"/>
      <c r="G45" s="265"/>
      <c r="H45" s="266"/>
      <c r="I45" s="265"/>
      <c r="J45" s="357"/>
      <c r="K45" s="246"/>
    </row>
    <row r="46" ht="15.75" hidden="1" customHeight="1">
      <c r="A46" s="239"/>
      <c r="B46" s="336" t="s">
        <v>329</v>
      </c>
      <c r="C46" s="333" t="s">
        <v>408</v>
      </c>
      <c r="E46" s="265"/>
      <c r="F46" s="266"/>
      <c r="G46" s="265"/>
      <c r="H46" s="266"/>
      <c r="I46" s="265"/>
      <c r="J46" s="357"/>
      <c r="K46" s="246"/>
    </row>
    <row r="47" ht="15.75" hidden="1" customHeight="1">
      <c r="A47" s="239"/>
      <c r="B47" s="336" t="s">
        <v>329</v>
      </c>
      <c r="C47" s="333" t="s">
        <v>430</v>
      </c>
      <c r="E47" s="265"/>
      <c r="F47" s="266"/>
      <c r="G47" s="265"/>
      <c r="H47" s="266"/>
      <c r="I47" s="265"/>
      <c r="J47" s="357"/>
      <c r="K47" s="246"/>
    </row>
    <row r="48" ht="15.75" hidden="1" customHeight="1">
      <c r="A48" s="239"/>
      <c r="B48" s="336" t="s">
        <v>329</v>
      </c>
      <c r="C48" s="333" t="s">
        <v>426</v>
      </c>
      <c r="E48" s="265"/>
      <c r="F48" s="266"/>
      <c r="G48" s="265"/>
      <c r="H48" s="266"/>
      <c r="I48" s="265"/>
      <c r="J48" s="357"/>
      <c r="K48" s="246"/>
    </row>
    <row r="49" ht="15.75" hidden="1" customHeight="1">
      <c r="A49" s="239"/>
      <c r="B49" s="336" t="s">
        <v>332</v>
      </c>
      <c r="C49" s="333" t="s">
        <v>409</v>
      </c>
      <c r="E49" s="265"/>
      <c r="F49" s="266"/>
      <c r="G49" s="265"/>
      <c r="H49" s="266"/>
      <c r="I49" s="265"/>
      <c r="J49" s="357"/>
      <c r="K49" s="246"/>
    </row>
    <row r="50" ht="15.75" hidden="1" customHeight="1">
      <c r="A50" s="239"/>
      <c r="B50" s="346" t="s">
        <v>332</v>
      </c>
      <c r="C50" s="347" t="s">
        <v>410</v>
      </c>
      <c r="D50" s="358"/>
      <c r="E50" s="359"/>
      <c r="F50" s="360"/>
      <c r="G50" s="359"/>
      <c r="H50" s="360"/>
      <c r="I50" s="359"/>
      <c r="J50" s="361"/>
      <c r="K50" s="246"/>
    </row>
    <row r="51" ht="7.5" hidden="1" customHeight="1">
      <c r="A51" s="290"/>
      <c r="B51" s="291"/>
      <c r="C51" s="292"/>
      <c r="D51" s="292"/>
      <c r="E51" s="292"/>
      <c r="F51" s="292"/>
      <c r="G51" s="292"/>
      <c r="H51" s="292"/>
      <c r="I51" s="362"/>
      <c r="J51" s="292"/>
      <c r="K51" s="290"/>
    </row>
    <row r="52" ht="18.75" hidden="1" customHeight="1">
      <c r="A52" s="363"/>
      <c r="B52" s="320" t="s">
        <v>7</v>
      </c>
      <c r="C52" s="321" t="s">
        <v>431</v>
      </c>
      <c r="D52" s="322"/>
      <c r="E52" s="322"/>
      <c r="F52" s="322"/>
      <c r="G52" s="323">
        <f>sum(G53:G65)</f>
        <v>0</v>
      </c>
      <c r="H52" s="322"/>
      <c r="I52" s="322"/>
      <c r="J52" s="324"/>
      <c r="K52" s="246"/>
    </row>
    <row r="53" hidden="1">
      <c r="A53" s="363"/>
      <c r="B53" s="325" t="s">
        <v>318</v>
      </c>
      <c r="C53" s="326" t="s">
        <v>418</v>
      </c>
      <c r="E53" s="265"/>
      <c r="F53" s="266"/>
      <c r="G53" s="265"/>
      <c r="H53" s="266"/>
      <c r="I53" s="265"/>
      <c r="J53" s="357"/>
      <c r="K53" s="246"/>
    </row>
    <row r="54" hidden="1">
      <c r="A54" s="363"/>
      <c r="B54" s="336" t="s">
        <v>320</v>
      </c>
      <c r="C54" s="333" t="s">
        <v>419</v>
      </c>
      <c r="E54" s="265"/>
      <c r="F54" s="266"/>
      <c r="G54" s="265"/>
      <c r="H54" s="266"/>
      <c r="I54" s="265"/>
      <c r="J54" s="357"/>
      <c r="K54" s="246"/>
    </row>
    <row r="55" hidden="1">
      <c r="A55" s="363"/>
      <c r="B55" s="336" t="s">
        <v>320</v>
      </c>
      <c r="C55" s="333" t="s">
        <v>420</v>
      </c>
      <c r="E55" s="265"/>
      <c r="F55" s="266"/>
      <c r="G55" s="265"/>
      <c r="H55" s="266"/>
      <c r="I55" s="265"/>
      <c r="J55" s="357"/>
      <c r="K55" s="246"/>
    </row>
    <row r="56" hidden="1">
      <c r="A56" s="363"/>
      <c r="B56" s="336" t="s">
        <v>320</v>
      </c>
      <c r="C56" s="333" t="s">
        <v>421</v>
      </c>
      <c r="E56" s="265"/>
      <c r="F56" s="266"/>
      <c r="G56" s="265"/>
      <c r="H56" s="266"/>
      <c r="I56" s="265"/>
      <c r="J56" s="357"/>
      <c r="K56" s="246"/>
    </row>
    <row r="57" ht="15.75" hidden="1" customHeight="1">
      <c r="A57" s="363"/>
      <c r="B57" s="336" t="s">
        <v>320</v>
      </c>
      <c r="C57" s="333" t="s">
        <v>432</v>
      </c>
      <c r="E57" s="265"/>
      <c r="F57" s="266"/>
      <c r="G57" s="265"/>
      <c r="H57" s="266"/>
      <c r="I57" s="265"/>
      <c r="J57" s="357"/>
      <c r="K57" s="246"/>
    </row>
    <row r="58" hidden="1">
      <c r="A58" s="363"/>
      <c r="B58" s="336" t="s">
        <v>324</v>
      </c>
      <c r="C58" s="333" t="s">
        <v>402</v>
      </c>
      <c r="E58" s="265"/>
      <c r="F58" s="266"/>
      <c r="G58" s="265"/>
      <c r="H58" s="266"/>
      <c r="I58" s="265"/>
      <c r="J58" s="357"/>
      <c r="K58" s="246"/>
    </row>
    <row r="59" hidden="1">
      <c r="A59" s="363"/>
      <c r="B59" s="336" t="s">
        <v>36</v>
      </c>
      <c r="C59" s="333" t="s">
        <v>423</v>
      </c>
      <c r="E59" s="265"/>
      <c r="F59" s="266"/>
      <c r="G59" s="265"/>
      <c r="H59" s="266"/>
      <c r="I59" s="265"/>
      <c r="J59" s="357"/>
      <c r="K59" s="246"/>
    </row>
    <row r="60" hidden="1">
      <c r="A60" s="363"/>
      <c r="B60" s="336"/>
      <c r="C60" s="333" t="s">
        <v>433</v>
      </c>
      <c r="E60" s="265"/>
      <c r="F60" s="266"/>
      <c r="G60" s="265"/>
      <c r="H60" s="266"/>
      <c r="I60" s="265"/>
      <c r="J60" s="357"/>
      <c r="K60" s="246"/>
    </row>
    <row r="61" hidden="1">
      <c r="A61" s="363"/>
      <c r="B61" s="336" t="s">
        <v>329</v>
      </c>
      <c r="C61" s="333" t="s">
        <v>408</v>
      </c>
      <c r="E61" s="265"/>
      <c r="F61" s="266"/>
      <c r="G61" s="265"/>
      <c r="H61" s="266"/>
      <c r="I61" s="265"/>
      <c r="J61" s="357"/>
      <c r="K61" s="246"/>
    </row>
    <row r="62" hidden="1">
      <c r="A62" s="363"/>
      <c r="B62" s="336" t="s">
        <v>329</v>
      </c>
      <c r="C62" s="333" t="s">
        <v>434</v>
      </c>
      <c r="E62" s="265"/>
      <c r="F62" s="266"/>
      <c r="G62" s="265"/>
      <c r="H62" s="266"/>
      <c r="I62" s="265"/>
      <c r="J62" s="357"/>
      <c r="K62" s="246"/>
    </row>
    <row r="63" hidden="1">
      <c r="A63" s="363"/>
      <c r="B63" s="336" t="s">
        <v>329</v>
      </c>
      <c r="C63" s="333" t="s">
        <v>426</v>
      </c>
      <c r="E63" s="265"/>
      <c r="F63" s="266"/>
      <c r="G63" s="265"/>
      <c r="H63" s="266"/>
      <c r="I63" s="265"/>
      <c r="J63" s="357"/>
      <c r="K63" s="246"/>
    </row>
    <row r="64" hidden="1">
      <c r="A64" s="363"/>
      <c r="B64" s="336" t="s">
        <v>332</v>
      </c>
      <c r="C64" s="333" t="s">
        <v>409</v>
      </c>
      <c r="E64" s="265"/>
      <c r="F64" s="266"/>
      <c r="G64" s="265"/>
      <c r="H64" s="266"/>
      <c r="I64" s="265"/>
      <c r="J64" s="357"/>
      <c r="K64" s="246"/>
    </row>
    <row r="65" hidden="1">
      <c r="A65" s="363"/>
      <c r="B65" s="346" t="s">
        <v>332</v>
      </c>
      <c r="C65" s="347" t="s">
        <v>410</v>
      </c>
      <c r="D65" s="358"/>
      <c r="E65" s="359"/>
      <c r="F65" s="360"/>
      <c r="G65" s="359"/>
      <c r="H65" s="360"/>
      <c r="I65" s="359"/>
      <c r="J65" s="361"/>
      <c r="K65" s="246"/>
    </row>
    <row r="66" ht="7.5" hidden="1" customHeight="1">
      <c r="A66" s="290"/>
      <c r="B66" s="291"/>
      <c r="C66" s="292"/>
      <c r="D66" s="292"/>
      <c r="E66" s="292"/>
      <c r="F66" s="292"/>
      <c r="G66" s="292"/>
      <c r="H66" s="292"/>
      <c r="I66" s="292"/>
      <c r="J66" s="292"/>
      <c r="K66" s="290"/>
    </row>
    <row r="67" ht="18.75" hidden="1" customHeight="1">
      <c r="A67" s="363"/>
      <c r="B67" s="320" t="s">
        <v>7</v>
      </c>
      <c r="C67" s="321" t="s">
        <v>435</v>
      </c>
      <c r="D67" s="322"/>
      <c r="E67" s="322"/>
      <c r="F67" s="322"/>
      <c r="G67" s="323">
        <f>sum(G68:G80)</f>
        <v>0</v>
      </c>
      <c r="H67" s="322"/>
      <c r="I67" s="322"/>
      <c r="J67" s="324"/>
      <c r="K67" s="246"/>
    </row>
    <row r="68" hidden="1">
      <c r="A68" s="363"/>
      <c r="B68" s="325" t="s">
        <v>318</v>
      </c>
      <c r="C68" s="326" t="s">
        <v>418</v>
      </c>
      <c r="E68" s="265"/>
      <c r="F68" s="266"/>
      <c r="G68" s="265"/>
      <c r="H68" s="266"/>
      <c r="I68" s="265"/>
      <c r="J68" s="357"/>
      <c r="K68" s="246"/>
    </row>
    <row r="69" hidden="1">
      <c r="A69" s="363"/>
      <c r="B69" s="336" t="s">
        <v>320</v>
      </c>
      <c r="C69" s="333" t="s">
        <v>419</v>
      </c>
      <c r="E69" s="265"/>
      <c r="F69" s="266"/>
      <c r="G69" s="265"/>
      <c r="H69" s="266"/>
      <c r="I69" s="265"/>
      <c r="J69" s="357"/>
      <c r="K69" s="246"/>
    </row>
    <row r="70" hidden="1">
      <c r="A70" s="363"/>
      <c r="B70" s="336" t="s">
        <v>320</v>
      </c>
      <c r="C70" s="333" t="s">
        <v>420</v>
      </c>
      <c r="E70" s="265"/>
      <c r="F70" s="266"/>
      <c r="G70" s="265"/>
      <c r="H70" s="266"/>
      <c r="I70" s="265"/>
      <c r="J70" s="357"/>
      <c r="K70" s="246"/>
    </row>
    <row r="71" hidden="1">
      <c r="A71" s="363"/>
      <c r="B71" s="336" t="s">
        <v>320</v>
      </c>
      <c r="C71" s="333" t="s">
        <v>421</v>
      </c>
      <c r="E71" s="265"/>
      <c r="F71" s="266"/>
      <c r="G71" s="265"/>
      <c r="H71" s="266"/>
      <c r="I71" s="265"/>
      <c r="J71" s="357"/>
      <c r="K71" s="246"/>
    </row>
    <row r="72" ht="15.75" hidden="1" customHeight="1">
      <c r="A72" s="363"/>
      <c r="B72" s="336" t="s">
        <v>320</v>
      </c>
      <c r="C72" s="333" t="s">
        <v>436</v>
      </c>
      <c r="E72" s="265"/>
      <c r="F72" s="266"/>
      <c r="G72" s="265"/>
      <c r="H72" s="266"/>
      <c r="I72" s="265"/>
      <c r="J72" s="357"/>
      <c r="K72" s="246"/>
    </row>
    <row r="73" hidden="1">
      <c r="A73" s="363"/>
      <c r="B73" s="336" t="s">
        <v>324</v>
      </c>
      <c r="C73" s="333" t="s">
        <v>402</v>
      </c>
      <c r="E73" s="265"/>
      <c r="F73" s="266"/>
      <c r="G73" s="265"/>
      <c r="H73" s="266"/>
      <c r="I73" s="265"/>
      <c r="J73" s="357"/>
      <c r="K73" s="246"/>
    </row>
    <row r="74" hidden="1">
      <c r="A74" s="363"/>
      <c r="B74" s="336" t="s">
        <v>36</v>
      </c>
      <c r="C74" s="333" t="s">
        <v>423</v>
      </c>
      <c r="E74" s="265"/>
      <c r="F74" s="266"/>
      <c r="G74" s="265"/>
      <c r="H74" s="266"/>
      <c r="I74" s="265"/>
      <c r="J74" s="357"/>
      <c r="K74" s="246"/>
    </row>
    <row r="75" hidden="1">
      <c r="A75" s="363"/>
      <c r="B75" s="336"/>
      <c r="C75" s="333" t="s">
        <v>437</v>
      </c>
      <c r="E75" s="265"/>
      <c r="F75" s="266"/>
      <c r="G75" s="265"/>
      <c r="H75" s="266"/>
      <c r="I75" s="265"/>
      <c r="J75" s="357"/>
      <c r="K75" s="246"/>
    </row>
    <row r="76" hidden="1">
      <c r="A76" s="363"/>
      <c r="B76" s="336" t="s">
        <v>329</v>
      </c>
      <c r="C76" s="333" t="s">
        <v>408</v>
      </c>
      <c r="E76" s="265"/>
      <c r="F76" s="266"/>
      <c r="G76" s="265"/>
      <c r="H76" s="266"/>
      <c r="I76" s="265"/>
      <c r="J76" s="357"/>
      <c r="K76" s="246"/>
    </row>
    <row r="77" hidden="1">
      <c r="A77" s="363"/>
      <c r="B77" s="336" t="s">
        <v>329</v>
      </c>
      <c r="C77" s="333" t="s">
        <v>438</v>
      </c>
      <c r="E77" s="265"/>
      <c r="F77" s="266"/>
      <c r="G77" s="265"/>
      <c r="H77" s="266"/>
      <c r="I77" s="265"/>
      <c r="J77" s="357"/>
      <c r="K77" s="246"/>
    </row>
    <row r="78" hidden="1">
      <c r="A78" s="363"/>
      <c r="B78" s="336" t="s">
        <v>329</v>
      </c>
      <c r="C78" s="333" t="s">
        <v>426</v>
      </c>
      <c r="E78" s="265"/>
      <c r="F78" s="266"/>
      <c r="G78" s="265"/>
      <c r="H78" s="266"/>
      <c r="I78" s="265"/>
      <c r="J78" s="357"/>
      <c r="K78" s="246"/>
    </row>
    <row r="79" hidden="1">
      <c r="A79" s="363"/>
      <c r="B79" s="336" t="s">
        <v>332</v>
      </c>
      <c r="C79" s="333" t="s">
        <v>409</v>
      </c>
      <c r="E79" s="265"/>
      <c r="F79" s="266"/>
      <c r="G79" s="265"/>
      <c r="H79" s="266"/>
      <c r="I79" s="265"/>
      <c r="J79" s="357"/>
      <c r="K79" s="246"/>
    </row>
    <row r="80" hidden="1">
      <c r="A80" s="363"/>
      <c r="B80" s="346" t="s">
        <v>332</v>
      </c>
      <c r="C80" s="347" t="s">
        <v>410</v>
      </c>
      <c r="D80" s="358"/>
      <c r="E80" s="359"/>
      <c r="F80" s="360"/>
      <c r="G80" s="359"/>
      <c r="H80" s="360"/>
      <c r="I80" s="359"/>
      <c r="J80" s="361"/>
      <c r="K80" s="246"/>
    </row>
    <row r="81">
      <c r="A81" s="295"/>
      <c r="B81" s="354"/>
      <c r="C81" s="355"/>
      <c r="D81" s="355"/>
      <c r="E81" s="355"/>
      <c r="F81" s="355"/>
      <c r="G81" s="355"/>
      <c r="H81" s="355"/>
      <c r="I81" s="355"/>
      <c r="J81" s="355"/>
      <c r="K81" s="295"/>
    </row>
  </sheetData>
  <mergeCells count="7">
    <mergeCell ref="B1:C1"/>
    <mergeCell ref="E1:H1"/>
    <mergeCell ref="B2:J2"/>
    <mergeCell ref="B3:H3"/>
    <mergeCell ref="B5:C5"/>
    <mergeCell ref="B16:C16"/>
    <mergeCell ref="B30:C30"/>
  </mergeCells>
  <hyperlinks>
    <hyperlink display="Please indicate target customers in the 'Targets' Sheet" location="null!A1" ref="D4"/>
    <hyperlink r:id="rId2" ref="I10"/>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outlineLevelRow="2"/>
  <cols>
    <col customWidth="1" min="1" max="1" width="3.5"/>
    <col customWidth="1" min="2" max="2" width="13.63"/>
    <col customWidth="1" min="3" max="3" width="30.25"/>
    <col customWidth="1" min="4" max="4" width="26.63"/>
    <col customWidth="1" min="5" max="5" width="3.38"/>
  </cols>
  <sheetData>
    <row r="1" ht="21.0" customHeight="1">
      <c r="A1" s="364"/>
      <c r="B1" s="169"/>
      <c r="C1" s="169"/>
      <c r="D1" s="365"/>
      <c r="E1" s="366"/>
    </row>
    <row r="2" ht="26.25" customHeight="1">
      <c r="A2" s="114"/>
      <c r="B2" s="367" t="s">
        <v>72</v>
      </c>
      <c r="C2" s="21"/>
      <c r="D2" s="368" t="s">
        <v>439</v>
      </c>
      <c r="E2" s="369"/>
    </row>
    <row r="3">
      <c r="A3" s="114"/>
      <c r="B3" s="169"/>
      <c r="C3" s="124"/>
      <c r="D3" s="370">
        <f>C8+C22+C35+C46+C65+SUM(C67:C100)+SUM(C102:C152)+SUM(C154:C167)+SUM(C169:C170)+SUM(C172:C226)</f>
        <v>60000</v>
      </c>
      <c r="E3" s="369"/>
    </row>
    <row r="4" ht="27.75" customHeight="1">
      <c r="A4" s="114"/>
      <c r="B4" s="371" t="s">
        <v>74</v>
      </c>
      <c r="C4" s="21"/>
      <c r="D4" s="368" t="s">
        <v>440</v>
      </c>
      <c r="E4" s="369"/>
    </row>
    <row r="5" ht="21.75" customHeight="1">
      <c r="A5" s="114"/>
      <c r="B5" s="372" t="s">
        <v>441</v>
      </c>
      <c r="C5" s="117"/>
      <c r="D5" s="373">
        <f>D8+D22+D35+D46+D65+SUM(D67:D100)+SUM(D102:D152)+SUM(D154:D167)+SUM(D169:D170)+SUM(D172:D226)</f>
        <v>19000</v>
      </c>
      <c r="E5" s="369"/>
    </row>
    <row r="6" ht="9.75" customHeight="1">
      <c r="A6" s="169"/>
      <c r="B6" s="185"/>
      <c r="C6" s="137"/>
      <c r="D6" s="374"/>
      <c r="E6" s="375"/>
    </row>
    <row r="7">
      <c r="A7" s="124"/>
      <c r="B7" s="376" t="s">
        <v>83</v>
      </c>
      <c r="C7" s="377" t="s">
        <v>84</v>
      </c>
      <c r="D7" s="377" t="s">
        <v>85</v>
      </c>
      <c r="E7" s="369"/>
    </row>
    <row r="8" outlineLevel="1">
      <c r="A8" s="119"/>
      <c r="B8" s="378" t="s">
        <v>86</v>
      </c>
      <c r="C8" s="379">
        <f>SUM(C9:C21)</f>
        <v>25000</v>
      </c>
      <c r="D8" s="380">
        <f>sum(D9:D21)</f>
        <v>10000</v>
      </c>
      <c r="E8" s="369"/>
    </row>
    <row r="9" outlineLevel="2">
      <c r="A9" s="124"/>
      <c r="B9" s="381" t="s">
        <v>87</v>
      </c>
      <c r="C9" s="382"/>
      <c r="D9" s="383"/>
      <c r="E9" s="369"/>
    </row>
    <row r="10" outlineLevel="2">
      <c r="A10" s="124"/>
      <c r="B10" s="381" t="s">
        <v>88</v>
      </c>
      <c r="C10" s="382"/>
      <c r="D10" s="383"/>
      <c r="E10" s="369"/>
    </row>
    <row r="11" outlineLevel="2">
      <c r="A11" s="124"/>
      <c r="B11" s="381" t="s">
        <v>89</v>
      </c>
      <c r="C11" s="384">
        <v>4000.0</v>
      </c>
      <c r="D11" s="385">
        <v>2000.0</v>
      </c>
      <c r="E11" s="369"/>
    </row>
    <row r="12" outlineLevel="2">
      <c r="A12" s="124"/>
      <c r="B12" s="381" t="s">
        <v>90</v>
      </c>
      <c r="C12" s="384">
        <v>3500.0</v>
      </c>
      <c r="D12" s="385">
        <v>500.0</v>
      </c>
      <c r="E12" s="369"/>
    </row>
    <row r="13" outlineLevel="2">
      <c r="A13" s="124"/>
      <c r="B13" s="381" t="s">
        <v>91</v>
      </c>
      <c r="C13" s="384">
        <v>1000.0</v>
      </c>
      <c r="D13" s="383"/>
      <c r="E13" s="369"/>
    </row>
    <row r="14" outlineLevel="2">
      <c r="A14" s="124"/>
      <c r="B14" s="381" t="s">
        <v>92</v>
      </c>
      <c r="C14" s="382"/>
      <c r="D14" s="383"/>
      <c r="E14" s="369"/>
    </row>
    <row r="15" outlineLevel="2">
      <c r="A15" s="124"/>
      <c r="B15" s="381" t="s">
        <v>93</v>
      </c>
      <c r="C15" s="384">
        <v>9000.0</v>
      </c>
      <c r="D15" s="385">
        <v>6000.0</v>
      </c>
      <c r="E15" s="369"/>
    </row>
    <row r="16" outlineLevel="2">
      <c r="A16" s="124"/>
      <c r="B16" s="381" t="s">
        <v>94</v>
      </c>
      <c r="C16" s="382"/>
      <c r="D16" s="383"/>
      <c r="E16" s="369"/>
    </row>
    <row r="17" outlineLevel="2">
      <c r="A17" s="124"/>
      <c r="B17" s="381" t="s">
        <v>95</v>
      </c>
      <c r="C17" s="382"/>
      <c r="D17" s="383"/>
      <c r="E17" s="369"/>
    </row>
    <row r="18" outlineLevel="2">
      <c r="A18" s="124"/>
      <c r="B18" s="381" t="s">
        <v>96</v>
      </c>
      <c r="C18" s="384">
        <v>1500.0</v>
      </c>
      <c r="D18" s="383"/>
      <c r="E18" s="369"/>
    </row>
    <row r="19" outlineLevel="2">
      <c r="A19" s="124"/>
      <c r="B19" s="381" t="s">
        <v>97</v>
      </c>
      <c r="C19" s="384">
        <v>4000.0</v>
      </c>
      <c r="D19" s="385">
        <v>1500.0</v>
      </c>
      <c r="E19" s="369"/>
    </row>
    <row r="20" outlineLevel="2">
      <c r="A20" s="124"/>
      <c r="B20" s="381" t="s">
        <v>98</v>
      </c>
      <c r="C20" s="384">
        <v>2000.0</v>
      </c>
      <c r="D20" s="383"/>
      <c r="E20" s="369"/>
    </row>
    <row r="21" outlineLevel="2">
      <c r="A21" s="124"/>
      <c r="B21" s="386" t="s">
        <v>99</v>
      </c>
      <c r="C21" s="382"/>
      <c r="D21" s="383"/>
      <c r="E21" s="369"/>
    </row>
    <row r="22" outlineLevel="1">
      <c r="A22" s="119"/>
      <c r="B22" s="378" t="s">
        <v>100</v>
      </c>
      <c r="C22" s="387">
        <f>SUM(C23:C34)</f>
        <v>1000</v>
      </c>
      <c r="D22" s="388">
        <f>sum(D23:D34)</f>
        <v>0</v>
      </c>
      <c r="E22" s="369"/>
    </row>
    <row r="23" outlineLevel="2">
      <c r="A23" s="124"/>
      <c r="B23" s="381" t="s">
        <v>101</v>
      </c>
      <c r="C23" s="382"/>
      <c r="D23" s="383"/>
      <c r="E23" s="369"/>
    </row>
    <row r="24" outlineLevel="2">
      <c r="A24" s="124"/>
      <c r="B24" s="381" t="s">
        <v>102</v>
      </c>
      <c r="C24" s="382"/>
      <c r="D24" s="383"/>
      <c r="E24" s="369"/>
    </row>
    <row r="25" outlineLevel="2">
      <c r="A25" s="124"/>
      <c r="B25" s="381" t="s">
        <v>103</v>
      </c>
      <c r="C25" s="382"/>
      <c r="D25" s="383"/>
      <c r="E25" s="369"/>
    </row>
    <row r="26" outlineLevel="2">
      <c r="A26" s="124"/>
      <c r="B26" s="381" t="s">
        <v>104</v>
      </c>
      <c r="C26" s="382"/>
      <c r="D26" s="383"/>
      <c r="E26" s="369"/>
    </row>
    <row r="27" outlineLevel="2">
      <c r="A27" s="124"/>
      <c r="B27" s="381" t="s">
        <v>105</v>
      </c>
      <c r="C27" s="382"/>
      <c r="D27" s="383"/>
      <c r="E27" s="369"/>
    </row>
    <row r="28" outlineLevel="2">
      <c r="A28" s="124"/>
      <c r="B28" s="381" t="s">
        <v>106</v>
      </c>
      <c r="C28" s="384">
        <v>1000.0</v>
      </c>
      <c r="D28" s="383"/>
      <c r="E28" s="369"/>
    </row>
    <row r="29" outlineLevel="2">
      <c r="A29" s="124"/>
      <c r="B29" s="381" t="s">
        <v>107</v>
      </c>
      <c r="C29" s="382"/>
      <c r="D29" s="383"/>
      <c r="E29" s="369"/>
    </row>
    <row r="30" outlineLevel="2">
      <c r="A30" s="124"/>
      <c r="B30" s="381" t="s">
        <v>108</v>
      </c>
      <c r="C30" s="382"/>
      <c r="D30" s="383"/>
      <c r="E30" s="369"/>
    </row>
    <row r="31" outlineLevel="2">
      <c r="A31" s="124"/>
      <c r="B31" s="381" t="s">
        <v>109</v>
      </c>
      <c r="C31" s="382"/>
      <c r="D31" s="383"/>
      <c r="E31" s="369"/>
    </row>
    <row r="32" outlineLevel="2">
      <c r="A32" s="124"/>
      <c r="B32" s="381" t="s">
        <v>110</v>
      </c>
      <c r="C32" s="382"/>
      <c r="D32" s="383"/>
      <c r="E32" s="369"/>
    </row>
    <row r="33" outlineLevel="2">
      <c r="A33" s="124"/>
      <c r="B33" s="381" t="s">
        <v>111</v>
      </c>
      <c r="C33" s="382"/>
      <c r="D33" s="383"/>
      <c r="E33" s="369"/>
    </row>
    <row r="34" outlineLevel="2">
      <c r="A34" s="124"/>
      <c r="B34" s="381" t="s">
        <v>112</v>
      </c>
      <c r="C34" s="382"/>
      <c r="D34" s="383"/>
      <c r="E34" s="369"/>
    </row>
    <row r="35" outlineLevel="1">
      <c r="A35" s="119"/>
      <c r="B35" s="389" t="s">
        <v>113</v>
      </c>
      <c r="C35" s="387">
        <f>SUM(C36:C45)</f>
        <v>27000</v>
      </c>
      <c r="D35" s="388">
        <f>sum(D36:D45)</f>
        <v>8000</v>
      </c>
      <c r="E35" s="369"/>
    </row>
    <row r="36" outlineLevel="2">
      <c r="A36" s="124"/>
      <c r="B36" s="381" t="s">
        <v>114</v>
      </c>
      <c r="C36" s="382"/>
      <c r="D36" s="383"/>
      <c r="E36" s="369"/>
    </row>
    <row r="37" outlineLevel="2">
      <c r="A37" s="124"/>
      <c r="B37" s="381" t="s">
        <v>115</v>
      </c>
      <c r="C37" s="382"/>
      <c r="D37" s="383"/>
      <c r="E37" s="369"/>
    </row>
    <row r="38" outlineLevel="2">
      <c r="A38" s="124"/>
      <c r="B38" s="381" t="s">
        <v>116</v>
      </c>
      <c r="C38" s="384">
        <v>1500.0</v>
      </c>
      <c r="D38" s="383"/>
      <c r="E38" s="369"/>
    </row>
    <row r="39" outlineLevel="2">
      <c r="A39" s="124"/>
      <c r="B39" s="381" t="s">
        <v>117</v>
      </c>
      <c r="C39" s="384">
        <v>500.0</v>
      </c>
      <c r="D39" s="383"/>
      <c r="E39" s="369"/>
    </row>
    <row r="40" outlineLevel="2">
      <c r="A40" s="124"/>
      <c r="B40" s="381" t="s">
        <v>118</v>
      </c>
      <c r="C40" s="382"/>
      <c r="D40" s="383"/>
      <c r="E40" s="369"/>
    </row>
    <row r="41" outlineLevel="2">
      <c r="A41" s="124"/>
      <c r="B41" s="381" t="s">
        <v>119</v>
      </c>
      <c r="C41" s="384">
        <v>18000.0</v>
      </c>
      <c r="D41" s="385">
        <v>5000.0</v>
      </c>
      <c r="E41" s="369"/>
    </row>
    <row r="42" outlineLevel="2">
      <c r="A42" s="124"/>
      <c r="B42" s="381" t="s">
        <v>120</v>
      </c>
      <c r="C42" s="384">
        <v>7000.0</v>
      </c>
      <c r="D42" s="385">
        <v>3000.0</v>
      </c>
      <c r="E42" s="369"/>
    </row>
    <row r="43" outlineLevel="2">
      <c r="A43" s="124"/>
      <c r="B43" s="381" t="s">
        <v>121</v>
      </c>
      <c r="C43" s="382"/>
      <c r="D43" s="383"/>
      <c r="E43" s="369"/>
    </row>
    <row r="44" outlineLevel="2">
      <c r="A44" s="124"/>
      <c r="B44" s="381" t="s">
        <v>122</v>
      </c>
      <c r="C44" s="382"/>
      <c r="D44" s="383"/>
      <c r="E44" s="369"/>
    </row>
    <row r="45" outlineLevel="2">
      <c r="A45" s="124"/>
      <c r="B45" s="381" t="s">
        <v>123</v>
      </c>
      <c r="C45" s="382"/>
      <c r="D45" s="383"/>
      <c r="E45" s="369"/>
    </row>
    <row r="46" outlineLevel="1">
      <c r="A46" s="119"/>
      <c r="B46" s="389" t="s">
        <v>124</v>
      </c>
      <c r="C46" s="387">
        <f>SUM(C47:C64)</f>
        <v>2000</v>
      </c>
      <c r="D46" s="388">
        <f>sum(D47:D64)</f>
        <v>0</v>
      </c>
      <c r="E46" s="369"/>
    </row>
    <row r="47" outlineLevel="2">
      <c r="A47" s="124"/>
      <c r="B47" s="381" t="s">
        <v>125</v>
      </c>
      <c r="C47" s="382"/>
      <c r="D47" s="383"/>
      <c r="E47" s="369"/>
    </row>
    <row r="48" outlineLevel="2">
      <c r="A48" s="124"/>
      <c r="B48" s="381" t="s">
        <v>126</v>
      </c>
      <c r="C48" s="382"/>
      <c r="D48" s="383"/>
      <c r="E48" s="369"/>
    </row>
    <row r="49" outlineLevel="2">
      <c r="A49" s="124"/>
      <c r="B49" s="381" t="s">
        <v>127</v>
      </c>
      <c r="C49" s="382"/>
      <c r="D49" s="383"/>
      <c r="E49" s="369"/>
    </row>
    <row r="50" outlineLevel="2">
      <c r="A50" s="124"/>
      <c r="B50" s="381" t="s">
        <v>128</v>
      </c>
      <c r="C50" s="384">
        <v>2000.0</v>
      </c>
      <c r="D50" s="383"/>
      <c r="E50" s="369"/>
    </row>
    <row r="51" outlineLevel="2">
      <c r="A51" s="124"/>
      <c r="B51" s="381" t="s">
        <v>129</v>
      </c>
      <c r="C51" s="382"/>
      <c r="D51" s="383"/>
      <c r="E51" s="369"/>
    </row>
    <row r="52" outlineLevel="2">
      <c r="A52" s="124"/>
      <c r="B52" s="381" t="s">
        <v>130</v>
      </c>
      <c r="C52" s="382"/>
      <c r="D52" s="383"/>
      <c r="E52" s="369"/>
    </row>
    <row r="53" outlineLevel="2">
      <c r="A53" s="124"/>
      <c r="B53" s="381" t="s">
        <v>131</v>
      </c>
      <c r="C53" s="382"/>
      <c r="D53" s="383"/>
      <c r="E53" s="369"/>
    </row>
    <row r="54" outlineLevel="2">
      <c r="A54" s="124"/>
      <c r="B54" s="381" t="s">
        <v>132</v>
      </c>
      <c r="C54" s="382"/>
      <c r="D54" s="383"/>
      <c r="E54" s="369"/>
    </row>
    <row r="55" outlineLevel="2">
      <c r="A55" s="124"/>
      <c r="B55" s="381" t="s">
        <v>133</v>
      </c>
      <c r="C55" s="382"/>
      <c r="D55" s="383"/>
      <c r="E55" s="369"/>
    </row>
    <row r="56" outlineLevel="2">
      <c r="A56" s="124"/>
      <c r="B56" s="381" t="s">
        <v>134</v>
      </c>
      <c r="C56" s="382"/>
      <c r="D56" s="383"/>
      <c r="E56" s="369"/>
    </row>
    <row r="57" outlineLevel="2">
      <c r="A57" s="124"/>
      <c r="B57" s="381" t="s">
        <v>135</v>
      </c>
      <c r="C57" s="382"/>
      <c r="D57" s="383"/>
      <c r="E57" s="369"/>
    </row>
    <row r="58" outlineLevel="2">
      <c r="A58" s="124"/>
      <c r="B58" s="381" t="s">
        <v>136</v>
      </c>
      <c r="C58" s="382"/>
      <c r="D58" s="383"/>
      <c r="E58" s="369"/>
    </row>
    <row r="59" outlineLevel="2">
      <c r="A59" s="124"/>
      <c r="B59" s="381" t="s">
        <v>137</v>
      </c>
      <c r="C59" s="382"/>
      <c r="D59" s="383"/>
      <c r="E59" s="369"/>
    </row>
    <row r="60" outlineLevel="2">
      <c r="A60" s="124"/>
      <c r="B60" s="381" t="s">
        <v>138</v>
      </c>
      <c r="C60" s="382"/>
      <c r="D60" s="385"/>
      <c r="E60" s="369"/>
    </row>
    <row r="61" outlineLevel="2">
      <c r="A61" s="124"/>
      <c r="B61" s="381" t="s">
        <v>139</v>
      </c>
      <c r="C61" s="382"/>
      <c r="D61" s="383"/>
      <c r="E61" s="369"/>
    </row>
    <row r="62" outlineLevel="2">
      <c r="A62" s="124"/>
      <c r="B62" s="381" t="s">
        <v>140</v>
      </c>
      <c r="C62" s="382"/>
      <c r="D62" s="383"/>
      <c r="E62" s="369"/>
    </row>
    <row r="63" outlineLevel="2">
      <c r="A63" s="124"/>
      <c r="B63" s="381" t="s">
        <v>141</v>
      </c>
      <c r="C63" s="382"/>
      <c r="D63" s="383"/>
      <c r="E63" s="369"/>
    </row>
    <row r="64" outlineLevel="2">
      <c r="A64" s="124"/>
      <c r="B64" s="381" t="s">
        <v>142</v>
      </c>
      <c r="C64" s="382"/>
      <c r="D64" s="383"/>
      <c r="E64" s="369"/>
    </row>
    <row r="65" outlineLevel="1">
      <c r="A65" s="124"/>
      <c r="B65" s="390" t="s">
        <v>143</v>
      </c>
      <c r="C65" s="382"/>
      <c r="D65" s="385">
        <v>1000.0</v>
      </c>
      <c r="E65" s="369"/>
    </row>
    <row r="66">
      <c r="A66" s="124"/>
      <c r="B66" s="376" t="s">
        <v>144</v>
      </c>
      <c r="C66" s="376" t="s">
        <v>84</v>
      </c>
      <c r="D66" s="376" t="s">
        <v>85</v>
      </c>
      <c r="E66" s="369"/>
    </row>
    <row r="67" outlineLevel="1">
      <c r="A67" s="124"/>
      <c r="B67" s="381" t="s">
        <v>145</v>
      </c>
      <c r="C67" s="382"/>
      <c r="D67" s="383"/>
      <c r="E67" s="369"/>
    </row>
    <row r="68" outlineLevel="1">
      <c r="A68" s="124"/>
      <c r="B68" s="381" t="s">
        <v>146</v>
      </c>
      <c r="C68" s="382"/>
      <c r="D68" s="383"/>
      <c r="E68" s="369"/>
    </row>
    <row r="69" outlineLevel="1">
      <c r="A69" s="124"/>
      <c r="B69" s="381" t="s">
        <v>147</v>
      </c>
      <c r="C69" s="384">
        <v>4000.0</v>
      </c>
      <c r="D69" s="383"/>
      <c r="E69" s="369"/>
    </row>
    <row r="70" outlineLevel="1">
      <c r="A70" s="124"/>
      <c r="B70" s="381" t="s">
        <v>148</v>
      </c>
      <c r="C70" s="382"/>
      <c r="D70" s="383"/>
      <c r="E70" s="369"/>
    </row>
    <row r="71" outlineLevel="1">
      <c r="A71" s="124"/>
      <c r="B71" s="381" t="s">
        <v>149</v>
      </c>
      <c r="C71" s="382"/>
      <c r="D71" s="383"/>
      <c r="E71" s="369"/>
    </row>
    <row r="72" outlineLevel="1">
      <c r="A72" s="124"/>
      <c r="B72" s="381" t="s">
        <v>150</v>
      </c>
      <c r="C72" s="382"/>
      <c r="D72" s="383"/>
      <c r="E72" s="369"/>
    </row>
    <row r="73" outlineLevel="1">
      <c r="A73" s="124"/>
      <c r="B73" s="381" t="s">
        <v>151</v>
      </c>
      <c r="C73" s="382"/>
      <c r="D73" s="383"/>
      <c r="E73" s="369"/>
    </row>
    <row r="74" outlineLevel="1">
      <c r="A74" s="124"/>
      <c r="B74" s="381" t="s">
        <v>152</v>
      </c>
      <c r="C74" s="382"/>
      <c r="D74" s="383"/>
      <c r="E74" s="369"/>
    </row>
    <row r="75" outlineLevel="1">
      <c r="A75" s="124"/>
      <c r="B75" s="381" t="s">
        <v>153</v>
      </c>
      <c r="C75" s="382"/>
      <c r="D75" s="383"/>
      <c r="E75" s="369"/>
    </row>
    <row r="76" outlineLevel="1">
      <c r="A76" s="124"/>
      <c r="B76" s="381" t="s">
        <v>154</v>
      </c>
      <c r="C76" s="382"/>
      <c r="D76" s="383"/>
      <c r="E76" s="369"/>
    </row>
    <row r="77" outlineLevel="1">
      <c r="A77" s="124"/>
      <c r="B77" s="381" t="s">
        <v>155</v>
      </c>
      <c r="C77" s="382"/>
      <c r="D77" s="383"/>
      <c r="E77" s="369"/>
    </row>
    <row r="78" outlineLevel="1">
      <c r="A78" s="124"/>
      <c r="B78" s="381" t="s">
        <v>156</v>
      </c>
      <c r="C78" s="384">
        <v>1000.0</v>
      </c>
      <c r="D78" s="383"/>
      <c r="E78" s="369"/>
    </row>
    <row r="79" outlineLevel="1">
      <c r="A79" s="124"/>
      <c r="B79" s="381" t="s">
        <v>157</v>
      </c>
      <c r="C79" s="382"/>
      <c r="D79" s="383"/>
      <c r="E79" s="369"/>
    </row>
    <row r="80" outlineLevel="1">
      <c r="A80" s="124"/>
      <c r="B80" s="381" t="s">
        <v>158</v>
      </c>
      <c r="C80" s="382"/>
      <c r="D80" s="383"/>
      <c r="E80" s="369"/>
    </row>
    <row r="81" outlineLevel="1">
      <c r="A81" s="124"/>
      <c r="B81" s="381" t="s">
        <v>159</v>
      </c>
      <c r="C81" s="382"/>
      <c r="D81" s="383"/>
      <c r="E81" s="369"/>
    </row>
    <row r="82" outlineLevel="1">
      <c r="A82" s="124"/>
      <c r="B82" s="381" t="s">
        <v>160</v>
      </c>
      <c r="C82" s="382"/>
      <c r="D82" s="383"/>
      <c r="E82" s="369"/>
    </row>
    <row r="83" outlineLevel="1">
      <c r="A83" s="124"/>
      <c r="B83" s="381" t="s">
        <v>161</v>
      </c>
      <c r="C83" s="382"/>
      <c r="D83" s="383"/>
      <c r="E83" s="369"/>
    </row>
    <row r="84" outlineLevel="1">
      <c r="A84" s="124"/>
      <c r="B84" s="381" t="s">
        <v>162</v>
      </c>
      <c r="C84" s="382"/>
      <c r="D84" s="383"/>
      <c r="E84" s="369"/>
    </row>
    <row r="85" outlineLevel="1">
      <c r="A85" s="124"/>
      <c r="B85" s="381" t="s">
        <v>163</v>
      </c>
      <c r="C85" s="382"/>
      <c r="D85" s="383"/>
      <c r="E85" s="369"/>
    </row>
    <row r="86" outlineLevel="1">
      <c r="A86" s="124"/>
      <c r="B86" s="381" t="s">
        <v>164</v>
      </c>
      <c r="C86" s="382"/>
      <c r="D86" s="383"/>
      <c r="E86" s="369"/>
    </row>
    <row r="87" outlineLevel="1">
      <c r="A87" s="124"/>
      <c r="B87" s="381" t="s">
        <v>165</v>
      </c>
      <c r="C87" s="382"/>
      <c r="D87" s="383"/>
      <c r="E87" s="369"/>
    </row>
    <row r="88" outlineLevel="1">
      <c r="A88" s="124"/>
      <c r="B88" s="381" t="s">
        <v>166</v>
      </c>
      <c r="C88" s="382"/>
      <c r="D88" s="383"/>
      <c r="E88" s="369"/>
    </row>
    <row r="89" outlineLevel="1">
      <c r="A89" s="124"/>
      <c r="B89" s="381" t="s">
        <v>167</v>
      </c>
      <c r="C89" s="382"/>
      <c r="D89" s="383"/>
      <c r="E89" s="369"/>
    </row>
    <row r="90" outlineLevel="1">
      <c r="A90" s="124"/>
      <c r="B90" s="381" t="s">
        <v>168</v>
      </c>
      <c r="C90" s="382"/>
      <c r="D90" s="383"/>
      <c r="E90" s="369"/>
    </row>
    <row r="91" outlineLevel="1">
      <c r="A91" s="124"/>
      <c r="B91" s="381" t="s">
        <v>169</v>
      </c>
      <c r="C91" s="382"/>
      <c r="D91" s="383"/>
      <c r="E91" s="369"/>
    </row>
    <row r="92" outlineLevel="1">
      <c r="A92" s="124"/>
      <c r="B92" s="381" t="s">
        <v>170</v>
      </c>
      <c r="C92" s="382"/>
      <c r="D92" s="383"/>
      <c r="E92" s="369"/>
    </row>
    <row r="93" outlineLevel="1">
      <c r="A93" s="124"/>
      <c r="B93" s="381" t="s">
        <v>171</v>
      </c>
      <c r="C93" s="382"/>
      <c r="D93" s="383"/>
      <c r="E93" s="369"/>
    </row>
    <row r="94" outlineLevel="1">
      <c r="A94" s="124"/>
      <c r="B94" s="381" t="s">
        <v>172</v>
      </c>
      <c r="C94" s="382"/>
      <c r="D94" s="383"/>
      <c r="E94" s="369"/>
    </row>
    <row r="95" outlineLevel="1">
      <c r="A95" s="124"/>
      <c r="B95" s="381" t="s">
        <v>173</v>
      </c>
      <c r="C95" s="382"/>
      <c r="D95" s="383"/>
      <c r="E95" s="369"/>
    </row>
    <row r="96" outlineLevel="1">
      <c r="A96" s="124"/>
      <c r="B96" s="381" t="s">
        <v>174</v>
      </c>
      <c r="C96" s="382"/>
      <c r="D96" s="383"/>
      <c r="E96" s="369"/>
    </row>
    <row r="97" outlineLevel="1">
      <c r="A97" s="124"/>
      <c r="B97" s="381" t="s">
        <v>175</v>
      </c>
      <c r="C97" s="382"/>
      <c r="D97" s="383"/>
      <c r="E97" s="369"/>
    </row>
    <row r="98" outlineLevel="1">
      <c r="A98" s="124"/>
      <c r="B98" s="381" t="s">
        <v>176</v>
      </c>
      <c r="C98" s="382"/>
      <c r="D98" s="383"/>
      <c r="E98" s="369"/>
    </row>
    <row r="99" outlineLevel="1">
      <c r="A99" s="124"/>
      <c r="B99" s="381" t="s">
        <v>177</v>
      </c>
      <c r="C99" s="382"/>
      <c r="D99" s="383"/>
      <c r="E99" s="369"/>
    </row>
    <row r="100" outlineLevel="1">
      <c r="A100" s="124"/>
      <c r="B100" s="381" t="s">
        <v>178</v>
      </c>
      <c r="C100" s="382"/>
      <c r="D100" s="383"/>
      <c r="E100" s="369"/>
    </row>
    <row r="101">
      <c r="A101" s="124"/>
      <c r="B101" s="376" t="s">
        <v>179</v>
      </c>
      <c r="C101" s="376" t="s">
        <v>84</v>
      </c>
      <c r="D101" s="376" t="s">
        <v>85</v>
      </c>
      <c r="E101" s="369"/>
    </row>
    <row r="102" outlineLevel="1">
      <c r="A102" s="124"/>
      <c r="B102" s="381" t="s">
        <v>180</v>
      </c>
      <c r="C102" s="382"/>
      <c r="D102" s="385"/>
      <c r="E102" s="369"/>
    </row>
    <row r="103" outlineLevel="1">
      <c r="A103" s="124"/>
      <c r="B103" s="381" t="s">
        <v>181</v>
      </c>
      <c r="C103" s="382"/>
      <c r="D103" s="383"/>
      <c r="E103" s="369"/>
    </row>
    <row r="104" outlineLevel="1">
      <c r="A104" s="124"/>
      <c r="B104" s="381" t="s">
        <v>182</v>
      </c>
      <c r="C104" s="382"/>
      <c r="D104" s="383"/>
      <c r="E104" s="369"/>
    </row>
    <row r="105" outlineLevel="1">
      <c r="A105" s="124"/>
      <c r="B105" s="381" t="s">
        <v>183</v>
      </c>
      <c r="C105" s="382"/>
      <c r="D105" s="383"/>
      <c r="E105" s="369"/>
    </row>
    <row r="106" outlineLevel="1">
      <c r="A106" s="124"/>
      <c r="B106" s="381" t="s">
        <v>184</v>
      </c>
      <c r="C106" s="382"/>
      <c r="D106" s="383"/>
      <c r="E106" s="369"/>
    </row>
    <row r="107" outlineLevel="1">
      <c r="A107" s="124"/>
      <c r="B107" s="381" t="s">
        <v>185</v>
      </c>
      <c r="C107" s="382"/>
      <c r="D107" s="383"/>
      <c r="E107" s="369"/>
    </row>
    <row r="108" outlineLevel="1">
      <c r="A108" s="124"/>
      <c r="B108" s="381" t="s">
        <v>186</v>
      </c>
      <c r="C108" s="382"/>
      <c r="D108" s="383"/>
      <c r="E108" s="369"/>
    </row>
    <row r="109" outlineLevel="1">
      <c r="A109" s="124"/>
      <c r="B109" s="381" t="s">
        <v>187</v>
      </c>
      <c r="C109" s="382"/>
      <c r="D109" s="383"/>
      <c r="E109" s="369"/>
    </row>
    <row r="110" outlineLevel="1">
      <c r="A110" s="124"/>
      <c r="B110" s="381" t="s">
        <v>188</v>
      </c>
      <c r="C110" s="382"/>
      <c r="D110" s="383"/>
      <c r="E110" s="369"/>
    </row>
    <row r="111" outlineLevel="1">
      <c r="A111" s="124"/>
      <c r="B111" s="381" t="s">
        <v>150</v>
      </c>
      <c r="C111" s="382"/>
      <c r="D111" s="383"/>
      <c r="E111" s="369"/>
    </row>
    <row r="112" outlineLevel="1">
      <c r="A112" s="124"/>
      <c r="B112" s="381" t="s">
        <v>129</v>
      </c>
      <c r="C112" s="382"/>
      <c r="D112" s="383"/>
      <c r="E112" s="369"/>
    </row>
    <row r="113" outlineLevel="1">
      <c r="A113" s="124"/>
      <c r="B113" s="381" t="s">
        <v>189</v>
      </c>
      <c r="C113" s="382"/>
      <c r="D113" s="383"/>
      <c r="E113" s="369"/>
    </row>
    <row r="114" outlineLevel="1">
      <c r="A114" s="124"/>
      <c r="B114" s="381" t="s">
        <v>190</v>
      </c>
      <c r="C114" s="382"/>
      <c r="D114" s="383"/>
      <c r="E114" s="369"/>
    </row>
    <row r="115" outlineLevel="1">
      <c r="A115" s="124"/>
      <c r="B115" s="381" t="s">
        <v>191</v>
      </c>
      <c r="C115" s="382"/>
      <c r="D115" s="383"/>
      <c r="E115" s="369"/>
    </row>
    <row r="116" outlineLevel="1">
      <c r="A116" s="124"/>
      <c r="B116" s="381" t="s">
        <v>192</v>
      </c>
      <c r="C116" s="382"/>
      <c r="D116" s="383"/>
      <c r="E116" s="369"/>
    </row>
    <row r="117" outlineLevel="1">
      <c r="A117" s="124"/>
      <c r="B117" s="381" t="s">
        <v>193</v>
      </c>
      <c r="C117" s="382"/>
      <c r="D117" s="383"/>
      <c r="E117" s="369"/>
    </row>
    <row r="118" outlineLevel="1">
      <c r="A118" s="124"/>
      <c r="B118" s="381" t="s">
        <v>194</v>
      </c>
      <c r="C118" s="382"/>
      <c r="D118" s="383"/>
      <c r="E118" s="369"/>
    </row>
    <row r="119" outlineLevel="1">
      <c r="A119" s="124"/>
      <c r="B119" s="381" t="s">
        <v>195</v>
      </c>
      <c r="C119" s="382"/>
      <c r="D119" s="383"/>
      <c r="E119" s="369"/>
    </row>
    <row r="120" outlineLevel="1">
      <c r="A120" s="124"/>
      <c r="B120" s="381" t="s">
        <v>196</v>
      </c>
      <c r="C120" s="382"/>
      <c r="D120" s="383"/>
      <c r="E120" s="369"/>
    </row>
    <row r="121" outlineLevel="1">
      <c r="A121" s="124"/>
      <c r="B121" s="381" t="s">
        <v>197</v>
      </c>
      <c r="C121" s="382"/>
      <c r="D121" s="383"/>
      <c r="E121" s="369"/>
    </row>
    <row r="122" outlineLevel="1">
      <c r="A122" s="124"/>
      <c r="B122" s="381" t="s">
        <v>198</v>
      </c>
      <c r="C122" s="382"/>
      <c r="D122" s="383"/>
      <c r="E122" s="369"/>
    </row>
    <row r="123" outlineLevel="1">
      <c r="A123" s="124"/>
      <c r="B123" s="381" t="s">
        <v>199</v>
      </c>
      <c r="C123" s="382"/>
      <c r="D123" s="383"/>
      <c r="E123" s="369"/>
    </row>
    <row r="124" outlineLevel="1">
      <c r="A124" s="124"/>
      <c r="B124" s="381" t="s">
        <v>200</v>
      </c>
      <c r="C124" s="382"/>
      <c r="D124" s="383"/>
      <c r="E124" s="369"/>
    </row>
    <row r="125" outlineLevel="1">
      <c r="A125" s="124"/>
      <c r="B125" s="381" t="s">
        <v>201</v>
      </c>
      <c r="C125" s="382"/>
      <c r="D125" s="383"/>
      <c r="E125" s="369"/>
    </row>
    <row r="126" outlineLevel="1">
      <c r="A126" s="124"/>
      <c r="B126" s="381" t="s">
        <v>202</v>
      </c>
      <c r="C126" s="382"/>
      <c r="D126" s="383"/>
      <c r="E126" s="369"/>
    </row>
    <row r="127" outlineLevel="1">
      <c r="A127" s="124"/>
      <c r="B127" s="381" t="s">
        <v>203</v>
      </c>
      <c r="C127" s="382"/>
      <c r="D127" s="383"/>
      <c r="E127" s="369"/>
    </row>
    <row r="128" outlineLevel="1">
      <c r="A128" s="124"/>
      <c r="B128" s="381" t="s">
        <v>204</v>
      </c>
      <c r="C128" s="382"/>
      <c r="D128" s="383"/>
      <c r="E128" s="369"/>
    </row>
    <row r="129" outlineLevel="1">
      <c r="A129" s="124"/>
      <c r="B129" s="381" t="s">
        <v>205</v>
      </c>
      <c r="C129" s="382"/>
      <c r="D129" s="383"/>
      <c r="E129" s="369"/>
    </row>
    <row r="130" outlineLevel="1">
      <c r="A130" s="124"/>
      <c r="B130" s="381" t="s">
        <v>206</v>
      </c>
      <c r="C130" s="382"/>
      <c r="D130" s="383"/>
      <c r="E130" s="369"/>
    </row>
    <row r="131" outlineLevel="1">
      <c r="A131" s="124"/>
      <c r="B131" s="381" t="s">
        <v>207</v>
      </c>
      <c r="C131" s="382"/>
      <c r="D131" s="383"/>
      <c r="E131" s="369"/>
    </row>
    <row r="132" outlineLevel="1">
      <c r="A132" s="124"/>
      <c r="B132" s="381" t="s">
        <v>208</v>
      </c>
      <c r="C132" s="382"/>
      <c r="D132" s="383"/>
      <c r="E132" s="369"/>
    </row>
    <row r="133" outlineLevel="1">
      <c r="A133" s="124"/>
      <c r="B133" s="381" t="s">
        <v>209</v>
      </c>
      <c r="C133" s="382"/>
      <c r="D133" s="383"/>
      <c r="E133" s="369"/>
    </row>
    <row r="134" outlineLevel="1">
      <c r="A134" s="124"/>
      <c r="B134" s="381" t="s">
        <v>210</v>
      </c>
      <c r="C134" s="382"/>
      <c r="D134" s="383"/>
      <c r="E134" s="369"/>
    </row>
    <row r="135" outlineLevel="1">
      <c r="A135" s="124"/>
      <c r="B135" s="381" t="s">
        <v>211</v>
      </c>
      <c r="C135" s="382"/>
      <c r="D135" s="383"/>
      <c r="E135" s="369"/>
    </row>
    <row r="136" outlineLevel="1">
      <c r="A136" s="124"/>
      <c r="B136" s="381" t="s">
        <v>212</v>
      </c>
      <c r="C136" s="382"/>
      <c r="D136" s="383"/>
      <c r="E136" s="369"/>
    </row>
    <row r="137" outlineLevel="1">
      <c r="A137" s="124"/>
      <c r="B137" s="381" t="s">
        <v>213</v>
      </c>
      <c r="C137" s="382"/>
      <c r="D137" s="383"/>
      <c r="E137" s="369"/>
    </row>
    <row r="138" outlineLevel="1">
      <c r="A138" s="124"/>
      <c r="B138" s="381" t="s">
        <v>214</v>
      </c>
      <c r="C138" s="382"/>
      <c r="D138" s="383"/>
      <c r="E138" s="369"/>
    </row>
    <row r="139" outlineLevel="1">
      <c r="A139" s="124"/>
      <c r="B139" s="381" t="s">
        <v>215</v>
      </c>
      <c r="C139" s="382"/>
      <c r="D139" s="383"/>
      <c r="E139" s="369"/>
    </row>
    <row r="140" outlineLevel="1">
      <c r="A140" s="124"/>
      <c r="B140" s="381" t="s">
        <v>216</v>
      </c>
      <c r="C140" s="382"/>
      <c r="D140" s="383"/>
      <c r="E140" s="369"/>
    </row>
    <row r="141" outlineLevel="1">
      <c r="A141" s="124"/>
      <c r="B141" s="381" t="s">
        <v>217</v>
      </c>
      <c r="C141" s="382"/>
      <c r="D141" s="383"/>
      <c r="E141" s="369"/>
    </row>
    <row r="142" outlineLevel="1">
      <c r="A142" s="124"/>
      <c r="B142" s="381" t="s">
        <v>218</v>
      </c>
      <c r="C142" s="382"/>
      <c r="D142" s="383"/>
      <c r="E142" s="369"/>
    </row>
    <row r="143" outlineLevel="1">
      <c r="A143" s="124"/>
      <c r="B143" s="381" t="s">
        <v>219</v>
      </c>
      <c r="C143" s="382"/>
      <c r="D143" s="383"/>
      <c r="E143" s="369"/>
    </row>
    <row r="144" outlineLevel="1">
      <c r="A144" s="124"/>
      <c r="B144" s="381" t="s">
        <v>220</v>
      </c>
      <c r="C144" s="382"/>
      <c r="D144" s="383"/>
      <c r="E144" s="369"/>
    </row>
    <row r="145" outlineLevel="1">
      <c r="A145" s="124"/>
      <c r="B145" s="381" t="s">
        <v>221</v>
      </c>
      <c r="C145" s="382"/>
      <c r="D145" s="383"/>
      <c r="E145" s="369"/>
    </row>
    <row r="146" outlineLevel="1">
      <c r="A146" s="124"/>
      <c r="B146" s="381" t="s">
        <v>222</v>
      </c>
      <c r="C146" s="382"/>
      <c r="D146" s="383"/>
      <c r="E146" s="369"/>
    </row>
    <row r="147" outlineLevel="1">
      <c r="A147" s="124"/>
      <c r="B147" s="381" t="s">
        <v>176</v>
      </c>
      <c r="C147" s="382"/>
      <c r="D147" s="383"/>
      <c r="E147" s="369"/>
    </row>
    <row r="148" outlineLevel="1">
      <c r="A148" s="124"/>
      <c r="B148" s="381" t="s">
        <v>223</v>
      </c>
      <c r="C148" s="382"/>
      <c r="D148" s="383"/>
      <c r="E148" s="369"/>
    </row>
    <row r="149" outlineLevel="1">
      <c r="A149" s="124"/>
      <c r="B149" s="381" t="s">
        <v>224</v>
      </c>
      <c r="C149" s="382"/>
      <c r="D149" s="383"/>
      <c r="E149" s="369"/>
    </row>
    <row r="150" outlineLevel="1">
      <c r="A150" s="124"/>
      <c r="B150" s="381" t="s">
        <v>225</v>
      </c>
      <c r="C150" s="382"/>
      <c r="D150" s="383"/>
      <c r="E150" s="369"/>
    </row>
    <row r="151" outlineLevel="1">
      <c r="A151" s="124"/>
      <c r="B151" s="381" t="s">
        <v>226</v>
      </c>
      <c r="C151" s="382"/>
      <c r="D151" s="383"/>
      <c r="E151" s="369"/>
    </row>
    <row r="152" outlineLevel="1">
      <c r="A152" s="124"/>
      <c r="B152" s="381" t="s">
        <v>227</v>
      </c>
      <c r="C152" s="382"/>
      <c r="D152" s="383"/>
      <c r="E152" s="369"/>
    </row>
    <row r="153">
      <c r="A153" s="124"/>
      <c r="B153" s="376" t="s">
        <v>228</v>
      </c>
      <c r="C153" s="376" t="s">
        <v>84</v>
      </c>
      <c r="D153" s="376" t="s">
        <v>85</v>
      </c>
      <c r="E153" s="369"/>
    </row>
    <row r="154" outlineLevel="1">
      <c r="A154" s="124"/>
      <c r="B154" s="381" t="s">
        <v>229</v>
      </c>
      <c r="C154" s="382"/>
      <c r="D154" s="383"/>
      <c r="E154" s="369"/>
    </row>
    <row r="155" outlineLevel="1">
      <c r="A155" s="124"/>
      <c r="B155" s="381" t="s">
        <v>230</v>
      </c>
      <c r="C155" s="382"/>
      <c r="D155" s="383"/>
      <c r="E155" s="369"/>
    </row>
    <row r="156" outlineLevel="1">
      <c r="A156" s="124"/>
      <c r="B156" s="381" t="s">
        <v>231</v>
      </c>
      <c r="C156" s="382"/>
      <c r="D156" s="383"/>
      <c r="E156" s="369"/>
    </row>
    <row r="157" outlineLevel="1">
      <c r="A157" s="124"/>
      <c r="B157" s="381" t="s">
        <v>232</v>
      </c>
      <c r="C157" s="382"/>
      <c r="D157" s="383"/>
      <c r="E157" s="369"/>
    </row>
    <row r="158" outlineLevel="1">
      <c r="A158" s="124"/>
      <c r="B158" s="381" t="s">
        <v>233</v>
      </c>
      <c r="C158" s="382"/>
      <c r="D158" s="383"/>
      <c r="E158" s="369"/>
    </row>
    <row r="159" outlineLevel="1">
      <c r="A159" s="124"/>
      <c r="B159" s="381" t="s">
        <v>234</v>
      </c>
      <c r="C159" s="382"/>
      <c r="D159" s="383"/>
      <c r="E159" s="369"/>
    </row>
    <row r="160" outlineLevel="1">
      <c r="A160" s="124"/>
      <c r="B160" s="381" t="s">
        <v>235</v>
      </c>
      <c r="C160" s="382"/>
      <c r="D160" s="383"/>
      <c r="E160" s="369"/>
    </row>
    <row r="161" outlineLevel="1">
      <c r="A161" s="124"/>
      <c r="B161" s="381" t="s">
        <v>236</v>
      </c>
      <c r="C161" s="382"/>
      <c r="D161" s="383"/>
      <c r="E161" s="369"/>
    </row>
    <row r="162" outlineLevel="1">
      <c r="A162" s="124"/>
      <c r="B162" s="381" t="s">
        <v>237</v>
      </c>
      <c r="C162" s="382"/>
      <c r="D162" s="383"/>
      <c r="E162" s="369"/>
    </row>
    <row r="163" outlineLevel="1">
      <c r="A163" s="124"/>
      <c r="B163" s="381" t="s">
        <v>238</v>
      </c>
      <c r="C163" s="382"/>
      <c r="D163" s="383"/>
      <c r="E163" s="369"/>
    </row>
    <row r="164" outlineLevel="1">
      <c r="A164" s="124"/>
      <c r="B164" s="381" t="s">
        <v>239</v>
      </c>
      <c r="C164" s="382"/>
      <c r="D164" s="383"/>
      <c r="E164" s="369"/>
    </row>
    <row r="165" outlineLevel="1">
      <c r="A165" s="124"/>
      <c r="B165" s="381" t="s">
        <v>240</v>
      </c>
      <c r="C165" s="382"/>
      <c r="D165" s="383"/>
      <c r="E165" s="369"/>
    </row>
    <row r="166" outlineLevel="1">
      <c r="A166" s="124"/>
      <c r="B166" s="381" t="s">
        <v>241</v>
      </c>
      <c r="C166" s="382"/>
      <c r="D166" s="383"/>
      <c r="E166" s="369"/>
    </row>
    <row r="167" outlineLevel="1">
      <c r="A167" s="124"/>
      <c r="B167" s="381" t="s">
        <v>242</v>
      </c>
      <c r="C167" s="382"/>
      <c r="D167" s="383"/>
      <c r="E167" s="369"/>
    </row>
    <row r="168">
      <c r="A168" s="124"/>
      <c r="B168" s="376" t="s">
        <v>244</v>
      </c>
      <c r="C168" s="376" t="s">
        <v>84</v>
      </c>
      <c r="D168" s="376" t="s">
        <v>85</v>
      </c>
      <c r="E168" s="369"/>
    </row>
    <row r="169" outlineLevel="1">
      <c r="A169" s="119"/>
      <c r="B169" s="391" t="s">
        <v>245</v>
      </c>
      <c r="C169" s="382"/>
      <c r="D169" s="383"/>
      <c r="E169" s="369"/>
    </row>
    <row r="170" outlineLevel="1">
      <c r="A170" s="124"/>
      <c r="B170" s="381" t="s">
        <v>246</v>
      </c>
      <c r="C170" s="382"/>
      <c r="D170" s="383"/>
      <c r="E170" s="369"/>
    </row>
    <row r="171">
      <c r="A171" s="119"/>
      <c r="B171" s="376" t="s">
        <v>247</v>
      </c>
      <c r="C171" s="376" t="s">
        <v>84</v>
      </c>
      <c r="D171" s="376" t="s">
        <v>85</v>
      </c>
      <c r="E171" s="369"/>
    </row>
    <row r="172" outlineLevel="1">
      <c r="A172" s="119"/>
      <c r="B172" s="392" t="s">
        <v>248</v>
      </c>
      <c r="C172" s="382"/>
      <c r="D172" s="383"/>
      <c r="E172" s="369"/>
    </row>
    <row r="173" outlineLevel="1">
      <c r="A173" s="119"/>
      <c r="B173" s="392" t="s">
        <v>249</v>
      </c>
      <c r="C173" s="382"/>
      <c r="D173" s="383"/>
      <c r="E173" s="369"/>
    </row>
    <row r="174" outlineLevel="1">
      <c r="A174" s="124"/>
      <c r="B174" s="393" t="s">
        <v>250</v>
      </c>
      <c r="C174" s="382"/>
      <c r="D174" s="383"/>
      <c r="E174" s="369"/>
    </row>
    <row r="175" outlineLevel="1">
      <c r="A175" s="124"/>
      <c r="B175" s="393" t="s">
        <v>251</v>
      </c>
      <c r="C175" s="382"/>
      <c r="D175" s="383"/>
      <c r="E175" s="369"/>
    </row>
    <row r="176" outlineLevel="1">
      <c r="A176" s="124"/>
      <c r="B176" s="393" t="s">
        <v>252</v>
      </c>
      <c r="C176" s="382"/>
      <c r="D176" s="383"/>
      <c r="E176" s="369"/>
    </row>
    <row r="177" outlineLevel="1">
      <c r="A177" s="124"/>
      <c r="B177" s="393" t="s">
        <v>253</v>
      </c>
      <c r="C177" s="382"/>
      <c r="D177" s="383"/>
      <c r="E177" s="369"/>
    </row>
    <row r="178" outlineLevel="1">
      <c r="A178" s="124"/>
      <c r="B178" s="393" t="s">
        <v>254</v>
      </c>
      <c r="C178" s="382"/>
      <c r="D178" s="383"/>
      <c r="E178" s="369"/>
    </row>
    <row r="179" outlineLevel="1">
      <c r="A179" s="124"/>
      <c r="B179" s="393" t="s">
        <v>255</v>
      </c>
      <c r="C179" s="382"/>
      <c r="D179" s="383"/>
      <c r="E179" s="369"/>
    </row>
    <row r="180" outlineLevel="1">
      <c r="A180" s="124"/>
      <c r="B180" s="393" t="s">
        <v>256</v>
      </c>
      <c r="C180" s="382"/>
      <c r="D180" s="383"/>
      <c r="E180" s="369"/>
    </row>
    <row r="181" outlineLevel="1">
      <c r="A181" s="124"/>
      <c r="B181" s="393" t="s">
        <v>257</v>
      </c>
      <c r="C181" s="382"/>
      <c r="D181" s="383"/>
      <c r="E181" s="369"/>
    </row>
    <row r="182" outlineLevel="1">
      <c r="A182" s="124"/>
      <c r="B182" s="393" t="s">
        <v>258</v>
      </c>
      <c r="C182" s="382"/>
      <c r="D182" s="383"/>
      <c r="E182" s="369"/>
    </row>
    <row r="183" outlineLevel="1">
      <c r="A183" s="124"/>
      <c r="B183" s="393" t="s">
        <v>259</v>
      </c>
      <c r="C183" s="382"/>
      <c r="D183" s="383"/>
      <c r="E183" s="369"/>
    </row>
    <row r="184" outlineLevel="1">
      <c r="A184" s="124"/>
      <c r="B184" s="393" t="s">
        <v>260</v>
      </c>
      <c r="C184" s="382"/>
      <c r="D184" s="383"/>
      <c r="E184" s="369"/>
    </row>
    <row r="185" outlineLevel="1">
      <c r="A185" s="124"/>
      <c r="B185" s="393" t="s">
        <v>261</v>
      </c>
      <c r="C185" s="382"/>
      <c r="D185" s="383"/>
      <c r="E185" s="369"/>
    </row>
    <row r="186" outlineLevel="1">
      <c r="A186" s="124"/>
      <c r="B186" s="393" t="s">
        <v>262</v>
      </c>
      <c r="C186" s="382"/>
      <c r="D186" s="383"/>
      <c r="E186" s="369"/>
    </row>
    <row r="187" outlineLevel="1">
      <c r="A187" s="124"/>
      <c r="B187" s="393" t="s">
        <v>263</v>
      </c>
      <c r="C187" s="382"/>
      <c r="D187" s="383"/>
      <c r="E187" s="369"/>
    </row>
    <row r="188" outlineLevel="1">
      <c r="A188" s="124"/>
      <c r="B188" s="393" t="s">
        <v>264</v>
      </c>
      <c r="C188" s="382"/>
      <c r="D188" s="383"/>
      <c r="E188" s="369"/>
    </row>
    <row r="189" outlineLevel="1">
      <c r="A189" s="124"/>
      <c r="B189" s="393" t="s">
        <v>265</v>
      </c>
      <c r="C189" s="382"/>
      <c r="D189" s="383"/>
      <c r="E189" s="369"/>
    </row>
    <row r="190" outlineLevel="1">
      <c r="A190" s="124"/>
      <c r="B190" s="393" t="s">
        <v>266</v>
      </c>
      <c r="C190" s="382"/>
      <c r="D190" s="383"/>
      <c r="E190" s="369"/>
    </row>
    <row r="191" outlineLevel="1">
      <c r="A191" s="124"/>
      <c r="B191" s="393" t="s">
        <v>267</v>
      </c>
      <c r="C191" s="382"/>
      <c r="D191" s="383"/>
      <c r="E191" s="369"/>
    </row>
    <row r="192" outlineLevel="1">
      <c r="A192" s="124"/>
      <c r="B192" s="393" t="s">
        <v>268</v>
      </c>
      <c r="C192" s="382"/>
      <c r="D192" s="383"/>
      <c r="E192" s="369"/>
    </row>
    <row r="193" outlineLevel="1">
      <c r="A193" s="124"/>
      <c r="B193" s="393" t="s">
        <v>269</v>
      </c>
      <c r="C193" s="382"/>
      <c r="D193" s="383"/>
      <c r="E193" s="369"/>
    </row>
    <row r="194" outlineLevel="1">
      <c r="A194" s="124"/>
      <c r="B194" s="393" t="s">
        <v>270</v>
      </c>
      <c r="C194" s="382"/>
      <c r="D194" s="383"/>
      <c r="E194" s="369"/>
    </row>
    <row r="195" outlineLevel="1">
      <c r="A195" s="124"/>
      <c r="B195" s="393" t="s">
        <v>271</v>
      </c>
      <c r="C195" s="382"/>
      <c r="D195" s="383"/>
      <c r="E195" s="369"/>
    </row>
    <row r="196" outlineLevel="1">
      <c r="A196" s="124"/>
      <c r="B196" s="393" t="s">
        <v>272</v>
      </c>
      <c r="C196" s="382"/>
      <c r="D196" s="383"/>
      <c r="E196" s="369"/>
    </row>
    <row r="197" outlineLevel="1">
      <c r="A197" s="124"/>
      <c r="B197" s="393" t="s">
        <v>273</v>
      </c>
      <c r="C197" s="382"/>
      <c r="D197" s="383"/>
      <c r="E197" s="369"/>
    </row>
    <row r="198" outlineLevel="1">
      <c r="A198" s="124"/>
      <c r="B198" s="393" t="s">
        <v>274</v>
      </c>
      <c r="C198" s="382"/>
      <c r="D198" s="383"/>
      <c r="E198" s="369"/>
    </row>
    <row r="199" outlineLevel="1">
      <c r="A199" s="124"/>
      <c r="B199" s="393" t="s">
        <v>275</v>
      </c>
      <c r="C199" s="382"/>
      <c r="D199" s="383"/>
      <c r="E199" s="369"/>
    </row>
    <row r="200" outlineLevel="1">
      <c r="A200" s="124"/>
      <c r="B200" s="393" t="s">
        <v>276</v>
      </c>
      <c r="C200" s="382"/>
      <c r="D200" s="383"/>
      <c r="E200" s="369"/>
    </row>
    <row r="201" outlineLevel="1">
      <c r="A201" s="124"/>
      <c r="B201" s="393" t="s">
        <v>277</v>
      </c>
      <c r="C201" s="382"/>
      <c r="D201" s="383"/>
      <c r="E201" s="369"/>
    </row>
    <row r="202" outlineLevel="1">
      <c r="A202" s="124"/>
      <c r="B202" s="393" t="s">
        <v>278</v>
      </c>
      <c r="C202" s="382"/>
      <c r="D202" s="383"/>
      <c r="E202" s="369"/>
    </row>
    <row r="203" outlineLevel="1">
      <c r="A203" s="124"/>
      <c r="B203" s="393" t="s">
        <v>279</v>
      </c>
      <c r="C203" s="382"/>
      <c r="D203" s="383"/>
      <c r="E203" s="369"/>
    </row>
    <row r="204" outlineLevel="1">
      <c r="A204" s="124"/>
      <c r="B204" s="393" t="s">
        <v>280</v>
      </c>
      <c r="C204" s="382"/>
      <c r="D204" s="383"/>
      <c r="E204" s="369"/>
    </row>
    <row r="205" outlineLevel="1">
      <c r="A205" s="124"/>
      <c r="B205" s="393" t="s">
        <v>281</v>
      </c>
      <c r="C205" s="382"/>
      <c r="D205" s="383"/>
      <c r="E205" s="369"/>
    </row>
    <row r="206" outlineLevel="1">
      <c r="A206" s="124"/>
      <c r="B206" s="393" t="s">
        <v>282</v>
      </c>
      <c r="C206" s="382"/>
      <c r="D206" s="383"/>
      <c r="E206" s="369"/>
    </row>
    <row r="207" outlineLevel="1">
      <c r="A207" s="124"/>
      <c r="B207" s="393" t="s">
        <v>283</v>
      </c>
      <c r="C207" s="382"/>
      <c r="D207" s="383"/>
      <c r="E207" s="369"/>
    </row>
    <row r="208" outlineLevel="1">
      <c r="A208" s="124"/>
      <c r="B208" s="393" t="s">
        <v>284</v>
      </c>
      <c r="C208" s="382"/>
      <c r="D208" s="383"/>
      <c r="E208" s="369"/>
    </row>
    <row r="209" outlineLevel="1">
      <c r="A209" s="124"/>
      <c r="B209" s="393" t="s">
        <v>285</v>
      </c>
      <c r="C209" s="382"/>
      <c r="D209" s="383"/>
      <c r="E209" s="369"/>
    </row>
    <row r="210" outlineLevel="1">
      <c r="A210" s="124"/>
      <c r="B210" s="393" t="s">
        <v>286</v>
      </c>
      <c r="C210" s="382"/>
      <c r="D210" s="383"/>
      <c r="E210" s="369"/>
    </row>
    <row r="211" outlineLevel="1">
      <c r="A211" s="124"/>
      <c r="B211" s="393" t="s">
        <v>287</v>
      </c>
      <c r="C211" s="382"/>
      <c r="D211" s="383"/>
      <c r="E211" s="369"/>
    </row>
    <row r="212" outlineLevel="1">
      <c r="A212" s="124"/>
      <c r="B212" s="393" t="s">
        <v>288</v>
      </c>
      <c r="C212" s="382"/>
      <c r="D212" s="383"/>
      <c r="E212" s="369"/>
    </row>
    <row r="213" outlineLevel="1">
      <c r="A213" s="124"/>
      <c r="B213" s="393" t="s">
        <v>289</v>
      </c>
      <c r="C213" s="382"/>
      <c r="D213" s="383"/>
      <c r="E213" s="369"/>
    </row>
    <row r="214" outlineLevel="1">
      <c r="A214" s="124"/>
      <c r="B214" s="393" t="s">
        <v>290</v>
      </c>
      <c r="C214" s="382"/>
      <c r="D214" s="383"/>
      <c r="E214" s="369"/>
    </row>
    <row r="215" outlineLevel="1">
      <c r="A215" s="124"/>
      <c r="B215" s="393" t="s">
        <v>291</v>
      </c>
      <c r="C215" s="382"/>
      <c r="D215" s="383"/>
      <c r="E215" s="369"/>
    </row>
    <row r="216" outlineLevel="1">
      <c r="A216" s="124"/>
      <c r="B216" s="393" t="s">
        <v>292</v>
      </c>
      <c r="C216" s="382"/>
      <c r="D216" s="383"/>
      <c r="E216" s="369"/>
    </row>
    <row r="217" outlineLevel="1">
      <c r="A217" s="124"/>
      <c r="B217" s="393" t="s">
        <v>293</v>
      </c>
      <c r="C217" s="382"/>
      <c r="D217" s="383"/>
      <c r="E217" s="369"/>
    </row>
    <row r="218" outlineLevel="1">
      <c r="A218" s="124"/>
      <c r="B218" s="393" t="s">
        <v>294</v>
      </c>
      <c r="C218" s="382"/>
      <c r="D218" s="383"/>
      <c r="E218" s="369"/>
    </row>
    <row r="219" outlineLevel="1">
      <c r="A219" s="124"/>
      <c r="B219" s="393" t="s">
        <v>295</v>
      </c>
      <c r="C219" s="382"/>
      <c r="D219" s="383"/>
      <c r="E219" s="369"/>
    </row>
    <row r="220" outlineLevel="1">
      <c r="A220" s="124"/>
      <c r="B220" s="393" t="s">
        <v>296</v>
      </c>
      <c r="C220" s="382"/>
      <c r="D220" s="383"/>
      <c r="E220" s="369"/>
    </row>
    <row r="221" outlineLevel="1">
      <c r="A221" s="124"/>
      <c r="B221" s="393" t="s">
        <v>297</v>
      </c>
      <c r="C221" s="382"/>
      <c r="D221" s="383"/>
      <c r="E221" s="369"/>
    </row>
    <row r="222" outlineLevel="1">
      <c r="A222" s="124"/>
      <c r="B222" s="393" t="s">
        <v>298</v>
      </c>
      <c r="C222" s="382"/>
      <c r="D222" s="383"/>
      <c r="E222" s="369"/>
    </row>
    <row r="223" outlineLevel="1">
      <c r="A223" s="124"/>
      <c r="B223" s="393" t="s">
        <v>299</v>
      </c>
      <c r="C223" s="382"/>
      <c r="D223" s="383"/>
      <c r="E223" s="369"/>
    </row>
    <row r="224" outlineLevel="1">
      <c r="A224" s="124"/>
      <c r="B224" s="393" t="s">
        <v>300</v>
      </c>
      <c r="C224" s="382"/>
      <c r="D224" s="383"/>
      <c r="E224" s="369"/>
    </row>
    <row r="225" outlineLevel="1">
      <c r="A225" s="124"/>
      <c r="B225" s="393" t="s">
        <v>301</v>
      </c>
      <c r="C225" s="382"/>
      <c r="D225" s="383"/>
      <c r="E225" s="369"/>
    </row>
    <row r="226" outlineLevel="1">
      <c r="A226" s="124"/>
      <c r="B226" s="394" t="s">
        <v>302</v>
      </c>
      <c r="C226" s="395"/>
      <c r="D226" s="396"/>
      <c r="E226" s="369"/>
    </row>
    <row r="227">
      <c r="A227" s="295"/>
      <c r="B227" s="397"/>
      <c r="C227" s="398"/>
      <c r="D227" s="398"/>
      <c r="E227" s="399"/>
    </row>
  </sheetData>
  <mergeCells count="3">
    <mergeCell ref="B2:C2"/>
    <mergeCell ref="B4:C4"/>
    <mergeCell ref="B5:C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2.5"/>
    <col customWidth="1" min="2" max="2" width="3.63"/>
    <col customWidth="1" min="3" max="3" width="23.38"/>
    <col customWidth="1" min="4" max="4" width="22.63"/>
    <col customWidth="1" min="5" max="5" width="32.63"/>
    <col customWidth="1" min="6" max="6" width="25.88"/>
    <col customWidth="1" min="7" max="7" width="3.0"/>
  </cols>
  <sheetData>
    <row r="1">
      <c r="A1" s="298"/>
      <c r="B1" s="298"/>
      <c r="C1" s="298"/>
      <c r="D1" s="298"/>
      <c r="E1" s="298"/>
      <c r="F1" s="298"/>
      <c r="G1" s="299"/>
    </row>
    <row r="2" ht="24.75" customHeight="1">
      <c r="A2" s="300"/>
      <c r="B2" s="301" t="s">
        <v>442</v>
      </c>
      <c r="C2" s="116"/>
      <c r="D2" s="116"/>
      <c r="E2" s="116"/>
      <c r="F2" s="117"/>
      <c r="G2" s="290"/>
    </row>
    <row r="3" ht="24.75" customHeight="1">
      <c r="A3" s="302"/>
      <c r="B3" s="400" t="s">
        <v>370</v>
      </c>
      <c r="C3" s="146"/>
      <c r="D3" s="401" t="s">
        <v>371</v>
      </c>
      <c r="E3" s="401" t="s">
        <v>372</v>
      </c>
      <c r="F3" s="401" t="s">
        <v>373</v>
      </c>
      <c r="G3" s="123"/>
    </row>
    <row r="4">
      <c r="A4" s="124"/>
      <c r="B4" s="402">
        <v>1.0</v>
      </c>
      <c r="C4" s="403" t="s">
        <v>443</v>
      </c>
      <c r="D4" s="404" t="s">
        <v>444</v>
      </c>
      <c r="E4" s="405" t="s">
        <v>445</v>
      </c>
      <c r="F4" s="406" t="s">
        <v>120</v>
      </c>
      <c r="G4" s="123"/>
    </row>
    <row r="5">
      <c r="A5" s="124"/>
      <c r="B5" s="402">
        <v>2.0</v>
      </c>
      <c r="C5" s="403" t="s">
        <v>446</v>
      </c>
      <c r="D5" s="404" t="s">
        <v>447</v>
      </c>
      <c r="E5" s="405" t="s">
        <v>445</v>
      </c>
      <c r="F5" s="406" t="s">
        <v>120</v>
      </c>
      <c r="G5" s="123"/>
    </row>
    <row r="6">
      <c r="A6" s="124"/>
      <c r="B6" s="402">
        <v>3.0</v>
      </c>
      <c r="C6" s="403" t="s">
        <v>448</v>
      </c>
      <c r="D6" s="404" t="s">
        <v>449</v>
      </c>
      <c r="E6" s="405" t="s">
        <v>445</v>
      </c>
      <c r="F6" s="406" t="s">
        <v>120</v>
      </c>
      <c r="G6" s="123"/>
    </row>
    <row r="7">
      <c r="A7" s="124"/>
      <c r="B7" s="402">
        <v>4.0</v>
      </c>
      <c r="C7" s="403" t="s">
        <v>450</v>
      </c>
      <c r="D7" s="404" t="s">
        <v>451</v>
      </c>
      <c r="E7" s="405" t="s">
        <v>445</v>
      </c>
      <c r="F7" s="406" t="s">
        <v>120</v>
      </c>
      <c r="G7" s="123"/>
    </row>
    <row r="8">
      <c r="A8" s="124"/>
      <c r="B8" s="402">
        <v>5.0</v>
      </c>
      <c r="C8" s="403" t="s">
        <v>452</v>
      </c>
      <c r="D8" s="404" t="s">
        <v>453</v>
      </c>
      <c r="E8" s="405" t="s">
        <v>445</v>
      </c>
      <c r="F8" s="406" t="s">
        <v>120</v>
      </c>
      <c r="G8" s="123"/>
    </row>
    <row r="9">
      <c r="A9" s="124"/>
      <c r="B9" s="402">
        <v>6.0</v>
      </c>
      <c r="C9" s="403" t="s">
        <v>454</v>
      </c>
      <c r="D9" s="407" t="s">
        <v>455</v>
      </c>
      <c r="E9" s="405" t="s">
        <v>445</v>
      </c>
      <c r="F9" s="406" t="s">
        <v>120</v>
      </c>
      <c r="G9" s="123"/>
    </row>
    <row r="10">
      <c r="A10" s="124"/>
      <c r="B10" s="402">
        <v>7.0</v>
      </c>
      <c r="C10" s="403" t="s">
        <v>456</v>
      </c>
      <c r="D10" s="408" t="s">
        <v>457</v>
      </c>
      <c r="E10" s="405" t="s">
        <v>445</v>
      </c>
      <c r="F10" s="406" t="s">
        <v>120</v>
      </c>
      <c r="G10" s="123"/>
    </row>
    <row r="11">
      <c r="A11" s="124"/>
      <c r="B11" s="402">
        <v>8.0</v>
      </c>
      <c r="C11" s="403" t="s">
        <v>458</v>
      </c>
      <c r="D11" s="404" t="s">
        <v>459</v>
      </c>
      <c r="E11" s="405" t="s">
        <v>445</v>
      </c>
      <c r="F11" s="406" t="s">
        <v>119</v>
      </c>
      <c r="G11" s="123"/>
    </row>
    <row r="12">
      <c r="A12" s="124"/>
      <c r="B12" s="402">
        <v>9.0</v>
      </c>
      <c r="C12" s="409" t="s">
        <v>460</v>
      </c>
      <c r="D12" s="404" t="s">
        <v>461</v>
      </c>
      <c r="E12" s="405" t="s">
        <v>445</v>
      </c>
      <c r="F12" s="406" t="s">
        <v>119</v>
      </c>
      <c r="G12" s="123"/>
    </row>
    <row r="13">
      <c r="A13" s="124"/>
      <c r="B13" s="402">
        <v>10.0</v>
      </c>
      <c r="C13" s="409" t="s">
        <v>462</v>
      </c>
      <c r="D13" s="404" t="s">
        <v>463</v>
      </c>
      <c r="E13" s="405" t="s">
        <v>445</v>
      </c>
      <c r="F13" s="406" t="s">
        <v>119</v>
      </c>
      <c r="G13" s="123"/>
    </row>
    <row r="14">
      <c r="A14" s="124"/>
      <c r="B14" s="402">
        <v>11.0</v>
      </c>
      <c r="C14" s="409" t="s">
        <v>464</v>
      </c>
      <c r="D14" s="404" t="s">
        <v>465</v>
      </c>
      <c r="E14" s="405" t="s">
        <v>445</v>
      </c>
      <c r="F14" s="406" t="s">
        <v>119</v>
      </c>
      <c r="G14" s="123"/>
    </row>
    <row r="15">
      <c r="A15" s="124"/>
      <c r="B15" s="402">
        <v>12.0</v>
      </c>
      <c r="C15" s="409" t="s">
        <v>466</v>
      </c>
      <c r="D15" s="404" t="s">
        <v>467</v>
      </c>
      <c r="E15" s="405" t="s">
        <v>445</v>
      </c>
      <c r="F15" s="406" t="s">
        <v>119</v>
      </c>
      <c r="G15" s="123"/>
    </row>
    <row r="16">
      <c r="A16" s="124"/>
      <c r="B16" s="402">
        <v>13.0</v>
      </c>
      <c r="C16" s="409" t="s">
        <v>468</v>
      </c>
      <c r="D16" s="404" t="s">
        <v>469</v>
      </c>
      <c r="E16" s="405" t="s">
        <v>445</v>
      </c>
      <c r="F16" s="406" t="s">
        <v>123</v>
      </c>
      <c r="G16" s="123"/>
    </row>
    <row r="17">
      <c r="A17" s="124"/>
      <c r="B17" s="402">
        <v>14.0</v>
      </c>
      <c r="C17" s="409" t="s">
        <v>470</v>
      </c>
      <c r="D17" s="404" t="s">
        <v>471</v>
      </c>
      <c r="E17" s="405" t="s">
        <v>445</v>
      </c>
      <c r="F17" s="406" t="s">
        <v>123</v>
      </c>
      <c r="G17" s="123"/>
    </row>
    <row r="18">
      <c r="A18" s="124"/>
      <c r="B18" s="402">
        <v>15.0</v>
      </c>
      <c r="C18" s="409" t="s">
        <v>472</v>
      </c>
      <c r="D18" s="404" t="s">
        <v>473</v>
      </c>
      <c r="E18" s="405" t="s">
        <v>445</v>
      </c>
      <c r="F18" s="406" t="s">
        <v>123</v>
      </c>
      <c r="G18" s="123"/>
    </row>
    <row r="19">
      <c r="A19" s="124"/>
      <c r="B19" s="402">
        <v>16.0</v>
      </c>
      <c r="C19" s="409" t="s">
        <v>474</v>
      </c>
      <c r="D19" s="404" t="s">
        <v>475</v>
      </c>
      <c r="E19" s="405" t="s">
        <v>445</v>
      </c>
      <c r="F19" s="406" t="s">
        <v>123</v>
      </c>
      <c r="G19" s="123"/>
    </row>
    <row r="20">
      <c r="A20" s="124"/>
      <c r="B20" s="402">
        <v>17.0</v>
      </c>
      <c r="C20" s="409" t="s">
        <v>476</v>
      </c>
      <c r="D20" s="404" t="s">
        <v>477</v>
      </c>
      <c r="E20" s="405" t="s">
        <v>445</v>
      </c>
      <c r="F20" s="406" t="s">
        <v>116</v>
      </c>
      <c r="G20" s="123"/>
    </row>
    <row r="21">
      <c r="A21" s="124"/>
      <c r="B21" s="402">
        <v>18.0</v>
      </c>
      <c r="C21" s="409" t="s">
        <v>478</v>
      </c>
      <c r="D21" s="404" t="s">
        <v>479</v>
      </c>
      <c r="E21" s="405" t="s">
        <v>445</v>
      </c>
      <c r="F21" s="406" t="s">
        <v>116</v>
      </c>
      <c r="G21" s="123"/>
    </row>
    <row r="22">
      <c r="A22" s="124"/>
      <c r="B22" s="402">
        <v>19.0</v>
      </c>
      <c r="C22" s="410" t="s">
        <v>480</v>
      </c>
      <c r="D22" s="404" t="s">
        <v>481</v>
      </c>
      <c r="E22" s="405" t="s">
        <v>445</v>
      </c>
      <c r="F22" s="406" t="s">
        <v>116</v>
      </c>
      <c r="G22" s="123"/>
    </row>
    <row r="23">
      <c r="A23" s="124"/>
      <c r="B23" s="402">
        <v>20.0</v>
      </c>
      <c r="C23" s="409" t="s">
        <v>482</v>
      </c>
      <c r="D23" s="404" t="s">
        <v>483</v>
      </c>
      <c r="E23" s="405" t="s">
        <v>445</v>
      </c>
      <c r="F23" s="406" t="s">
        <v>116</v>
      </c>
      <c r="G23" s="123"/>
    </row>
    <row r="24">
      <c r="A24" s="124"/>
      <c r="B24" s="402">
        <v>21.0</v>
      </c>
      <c r="C24" s="409" t="s">
        <v>484</v>
      </c>
      <c r="D24" s="404" t="s">
        <v>485</v>
      </c>
      <c r="E24" s="405" t="s">
        <v>445</v>
      </c>
      <c r="F24" s="406" t="s">
        <v>116</v>
      </c>
      <c r="G24" s="123"/>
    </row>
    <row r="25">
      <c r="A25" s="124"/>
      <c r="B25" s="402">
        <v>22.0</v>
      </c>
      <c r="C25" s="409" t="s">
        <v>486</v>
      </c>
      <c r="D25" s="404" t="s">
        <v>487</v>
      </c>
      <c r="E25" s="405" t="s">
        <v>445</v>
      </c>
      <c r="F25" s="406" t="s">
        <v>488</v>
      </c>
      <c r="G25" s="123"/>
    </row>
    <row r="26">
      <c r="A26" s="124"/>
      <c r="B26" s="402">
        <v>23.0</v>
      </c>
      <c r="C26" s="409" t="s">
        <v>489</v>
      </c>
      <c r="D26" s="404" t="s">
        <v>490</v>
      </c>
      <c r="E26" s="405" t="s">
        <v>445</v>
      </c>
      <c r="F26" s="406" t="s">
        <v>488</v>
      </c>
      <c r="G26" s="123"/>
    </row>
    <row r="27">
      <c r="A27" s="124"/>
      <c r="B27" s="402">
        <v>24.0</v>
      </c>
      <c r="C27" s="411" t="s">
        <v>491</v>
      </c>
      <c r="D27" s="404" t="s">
        <v>492</v>
      </c>
      <c r="E27" s="405" t="s">
        <v>445</v>
      </c>
      <c r="F27" s="406" t="s">
        <v>488</v>
      </c>
      <c r="G27" s="123"/>
    </row>
    <row r="28">
      <c r="A28" s="124"/>
      <c r="B28" s="402">
        <v>25.0</v>
      </c>
      <c r="C28" s="412" t="s">
        <v>493</v>
      </c>
      <c r="D28" s="407" t="s">
        <v>494</v>
      </c>
      <c r="E28" s="405" t="s">
        <v>445</v>
      </c>
      <c r="F28" s="406" t="s">
        <v>488</v>
      </c>
      <c r="G28" s="123"/>
    </row>
    <row r="29">
      <c r="A29" s="124"/>
      <c r="B29" s="402">
        <v>26.0</v>
      </c>
      <c r="C29" s="409" t="s">
        <v>495</v>
      </c>
      <c r="D29" s="408" t="s">
        <v>496</v>
      </c>
      <c r="E29" s="405" t="s">
        <v>445</v>
      </c>
      <c r="F29" s="406" t="s">
        <v>488</v>
      </c>
      <c r="G29" s="123"/>
    </row>
    <row r="30">
      <c r="A30" s="124"/>
      <c r="B30" s="402">
        <v>27.0</v>
      </c>
      <c r="C30" s="409" t="s">
        <v>497</v>
      </c>
      <c r="D30" s="404" t="s">
        <v>498</v>
      </c>
      <c r="E30" s="405" t="s">
        <v>445</v>
      </c>
      <c r="F30" s="406" t="s">
        <v>115</v>
      </c>
      <c r="G30" s="123"/>
    </row>
    <row r="31">
      <c r="A31" s="124"/>
      <c r="B31" s="402">
        <v>28.0</v>
      </c>
      <c r="C31" s="409" t="s">
        <v>499</v>
      </c>
      <c r="D31" s="407" t="s">
        <v>500</v>
      </c>
      <c r="E31" s="405" t="s">
        <v>445</v>
      </c>
      <c r="F31" s="406" t="s">
        <v>115</v>
      </c>
      <c r="G31" s="123"/>
    </row>
    <row r="32">
      <c r="A32" s="124"/>
      <c r="B32" s="402">
        <v>29.0</v>
      </c>
      <c r="C32" s="409" t="s">
        <v>501</v>
      </c>
      <c r="D32" s="404" t="s">
        <v>502</v>
      </c>
      <c r="E32" s="405" t="s">
        <v>445</v>
      </c>
      <c r="F32" s="406" t="s">
        <v>115</v>
      </c>
      <c r="G32" s="123"/>
    </row>
    <row r="33">
      <c r="A33" s="124"/>
      <c r="B33" s="413">
        <v>30.0</v>
      </c>
      <c r="C33" s="414" t="s">
        <v>503</v>
      </c>
      <c r="D33" s="415" t="s">
        <v>504</v>
      </c>
      <c r="E33" s="416" t="s">
        <v>445</v>
      </c>
      <c r="F33" s="417" t="s">
        <v>122</v>
      </c>
      <c r="G33" s="123"/>
    </row>
    <row r="34">
      <c r="A34" s="169"/>
      <c r="B34" s="299"/>
      <c r="C34" s="418"/>
      <c r="D34" s="299"/>
      <c r="E34" s="299"/>
      <c r="F34" s="299"/>
      <c r="G34" s="169"/>
    </row>
  </sheetData>
  <mergeCells count="2">
    <mergeCell ref="B2:F2"/>
    <mergeCell ref="B3:C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0B30"/>
    <outlinePr summaryBelow="0" summaryRight="0"/>
  </sheetPr>
  <sheetViews>
    <sheetView workbookViewId="0"/>
  </sheetViews>
  <sheetFormatPr customHeight="1" defaultColWidth="12.63" defaultRowHeight="15.75"/>
  <cols>
    <col customWidth="1" min="1" max="1" width="1.25"/>
    <col customWidth="1" min="2" max="2" width="13.5"/>
    <col customWidth="1" min="3" max="3" width="14.0"/>
    <col customWidth="1" min="4" max="5" width="13.5"/>
    <col customWidth="1" min="6" max="6" width="2.13"/>
    <col customWidth="1" min="7" max="8" width="13.5"/>
    <col customWidth="1" min="9" max="9" width="15.75"/>
    <col customWidth="1" min="10" max="10" width="13.5"/>
    <col customWidth="1" min="11" max="11" width="1.25"/>
  </cols>
  <sheetData>
    <row r="1" ht="14.25" customHeight="1">
      <c r="A1" s="169"/>
      <c r="B1" s="419"/>
      <c r="C1" s="419"/>
      <c r="D1" s="419"/>
      <c r="E1" s="419"/>
      <c r="F1" s="420"/>
      <c r="G1" s="421"/>
      <c r="H1" s="421"/>
      <c r="I1" s="421"/>
      <c r="J1" s="421"/>
      <c r="K1" s="169"/>
    </row>
    <row r="2">
      <c r="A2" s="422"/>
      <c r="B2" s="423" t="s">
        <v>505</v>
      </c>
      <c r="C2" s="424"/>
      <c r="D2" s="424"/>
      <c r="E2" s="425"/>
      <c r="F2" s="426"/>
      <c r="G2" s="427" t="s">
        <v>231</v>
      </c>
      <c r="H2" s="424"/>
      <c r="I2" s="424"/>
      <c r="J2" s="425"/>
      <c r="K2" s="428"/>
    </row>
    <row r="3">
      <c r="A3" s="429"/>
      <c r="B3" s="430" t="s">
        <v>86</v>
      </c>
      <c r="C3" s="431" t="s">
        <v>100</v>
      </c>
      <c r="D3" s="432" t="s">
        <v>113</v>
      </c>
      <c r="E3" s="433" t="s">
        <v>124</v>
      </c>
      <c r="F3" s="434"/>
      <c r="G3" s="430" t="s">
        <v>506</v>
      </c>
      <c r="H3" s="432" t="s">
        <v>507</v>
      </c>
      <c r="I3" s="432" t="s">
        <v>508</v>
      </c>
      <c r="J3" s="433" t="s">
        <v>509</v>
      </c>
      <c r="K3" s="435"/>
    </row>
    <row r="4">
      <c r="A4" s="124"/>
      <c r="B4" s="436" t="s">
        <v>87</v>
      </c>
      <c r="C4" s="437" t="s">
        <v>101</v>
      </c>
      <c r="D4" s="438" t="s">
        <v>114</v>
      </c>
      <c r="E4" s="439" t="s">
        <v>125</v>
      </c>
      <c r="F4" s="440"/>
      <c r="G4" s="436" t="s">
        <v>510</v>
      </c>
      <c r="H4" s="437" t="s">
        <v>511</v>
      </c>
      <c r="I4" s="438" t="s">
        <v>512</v>
      </c>
      <c r="J4" s="439" t="s">
        <v>513</v>
      </c>
      <c r="K4" s="123"/>
    </row>
    <row r="5">
      <c r="A5" s="124"/>
      <c r="B5" s="436" t="s">
        <v>88</v>
      </c>
      <c r="C5" s="437" t="s">
        <v>102</v>
      </c>
      <c r="D5" s="438" t="s">
        <v>115</v>
      </c>
      <c r="E5" s="439" t="s">
        <v>126</v>
      </c>
      <c r="F5" s="440"/>
      <c r="G5" s="436" t="s">
        <v>514</v>
      </c>
      <c r="H5" s="437" t="s">
        <v>515</v>
      </c>
      <c r="I5" s="438"/>
      <c r="J5" s="439" t="s">
        <v>516</v>
      </c>
      <c r="K5" s="123"/>
    </row>
    <row r="6">
      <c r="A6" s="124"/>
      <c r="B6" s="436" t="s">
        <v>89</v>
      </c>
      <c r="C6" s="437" t="s">
        <v>103</v>
      </c>
      <c r="D6" s="438" t="s">
        <v>116</v>
      </c>
      <c r="E6" s="439" t="s">
        <v>127</v>
      </c>
      <c r="F6" s="440"/>
      <c r="G6" s="436" t="s">
        <v>517</v>
      </c>
      <c r="H6" s="437" t="s">
        <v>518</v>
      </c>
      <c r="I6" s="438"/>
      <c r="J6" s="439" t="s">
        <v>519</v>
      </c>
      <c r="K6" s="123"/>
    </row>
    <row r="7">
      <c r="A7" s="124"/>
      <c r="B7" s="436" t="s">
        <v>90</v>
      </c>
      <c r="C7" s="437" t="s">
        <v>104</v>
      </c>
      <c r="D7" s="438" t="s">
        <v>117</v>
      </c>
      <c r="E7" s="439" t="s">
        <v>128</v>
      </c>
      <c r="F7" s="440"/>
      <c r="G7" s="436"/>
      <c r="H7" s="437" t="s">
        <v>520</v>
      </c>
      <c r="I7" s="438"/>
      <c r="J7" s="439"/>
      <c r="K7" s="123"/>
    </row>
    <row r="8">
      <c r="A8" s="124"/>
      <c r="B8" s="436" t="s">
        <v>91</v>
      </c>
      <c r="C8" s="437" t="s">
        <v>105</v>
      </c>
      <c r="D8" s="438" t="s">
        <v>118</v>
      </c>
      <c r="E8" s="439" t="s">
        <v>129</v>
      </c>
      <c r="F8" s="440"/>
      <c r="G8" s="436"/>
      <c r="H8" s="437" t="s">
        <v>521</v>
      </c>
      <c r="I8" s="438"/>
      <c r="J8" s="439"/>
      <c r="K8" s="123"/>
    </row>
    <row r="9">
      <c r="A9" s="124"/>
      <c r="B9" s="436" t="s">
        <v>92</v>
      </c>
      <c r="C9" s="437" t="s">
        <v>106</v>
      </c>
      <c r="D9" s="438" t="s">
        <v>119</v>
      </c>
      <c r="E9" s="439" t="s">
        <v>130</v>
      </c>
      <c r="F9" s="440"/>
      <c r="G9" s="436"/>
      <c r="H9" s="437" t="s">
        <v>522</v>
      </c>
      <c r="I9" s="438"/>
      <c r="J9" s="439"/>
      <c r="K9" s="123"/>
    </row>
    <row r="10">
      <c r="A10" s="124"/>
      <c r="B10" s="436" t="s">
        <v>93</v>
      </c>
      <c r="C10" s="437" t="s">
        <v>107</v>
      </c>
      <c r="D10" s="438" t="s">
        <v>120</v>
      </c>
      <c r="E10" s="439" t="s">
        <v>131</v>
      </c>
      <c r="F10" s="440"/>
      <c r="G10" s="436"/>
      <c r="H10" s="437" t="s">
        <v>523</v>
      </c>
      <c r="I10" s="438"/>
      <c r="J10" s="439"/>
      <c r="K10" s="123"/>
    </row>
    <row r="11">
      <c r="A11" s="124"/>
      <c r="B11" s="436" t="s">
        <v>94</v>
      </c>
      <c r="C11" s="437" t="s">
        <v>108</v>
      </c>
      <c r="D11" s="438" t="s">
        <v>121</v>
      </c>
      <c r="E11" s="439" t="s">
        <v>132</v>
      </c>
      <c r="F11" s="440"/>
      <c r="G11" s="436"/>
      <c r="H11" s="437" t="s">
        <v>524</v>
      </c>
      <c r="I11" s="438"/>
      <c r="J11" s="439"/>
      <c r="K11" s="123"/>
    </row>
    <row r="12">
      <c r="A12" s="124"/>
      <c r="B12" s="436" t="s">
        <v>95</v>
      </c>
      <c r="C12" s="437" t="s">
        <v>109</v>
      </c>
      <c r="D12" s="438" t="s">
        <v>122</v>
      </c>
      <c r="E12" s="439" t="s">
        <v>133</v>
      </c>
      <c r="F12" s="440"/>
      <c r="G12" s="436"/>
      <c r="H12" s="437" t="s">
        <v>525</v>
      </c>
      <c r="I12" s="438"/>
      <c r="J12" s="439"/>
      <c r="K12" s="123"/>
    </row>
    <row r="13">
      <c r="A13" s="124"/>
      <c r="B13" s="436" t="s">
        <v>96</v>
      </c>
      <c r="C13" s="437" t="s">
        <v>110</v>
      </c>
      <c r="D13" s="438" t="s">
        <v>123</v>
      </c>
      <c r="E13" s="439" t="s">
        <v>134</v>
      </c>
      <c r="F13" s="440"/>
      <c r="G13" s="436"/>
      <c r="H13" s="437" t="s">
        <v>526</v>
      </c>
      <c r="I13" s="438"/>
      <c r="J13" s="439"/>
      <c r="K13" s="123"/>
    </row>
    <row r="14">
      <c r="A14" s="124"/>
      <c r="B14" s="436" t="s">
        <v>97</v>
      </c>
      <c r="C14" s="437" t="s">
        <v>111</v>
      </c>
      <c r="D14" s="438"/>
      <c r="E14" s="439" t="s">
        <v>135</v>
      </c>
      <c r="F14" s="440"/>
      <c r="G14" s="436"/>
      <c r="H14" s="437" t="s">
        <v>527</v>
      </c>
      <c r="I14" s="438"/>
      <c r="J14" s="439"/>
      <c r="K14" s="123"/>
    </row>
    <row r="15">
      <c r="A15" s="124"/>
      <c r="B15" s="436" t="s">
        <v>98</v>
      </c>
      <c r="C15" s="437" t="s">
        <v>112</v>
      </c>
      <c r="D15" s="438"/>
      <c r="E15" s="439" t="s">
        <v>136</v>
      </c>
      <c r="F15" s="440"/>
      <c r="G15" s="436"/>
      <c r="H15" s="437" t="s">
        <v>528</v>
      </c>
      <c r="I15" s="438"/>
      <c r="J15" s="439"/>
      <c r="K15" s="123"/>
    </row>
    <row r="16">
      <c r="A16" s="124"/>
      <c r="B16" s="436" t="s">
        <v>99</v>
      </c>
      <c r="C16" s="437"/>
      <c r="D16" s="438"/>
      <c r="E16" s="439" t="s">
        <v>137</v>
      </c>
      <c r="F16" s="440"/>
      <c r="G16" s="436"/>
      <c r="H16" s="437" t="s">
        <v>529</v>
      </c>
      <c r="I16" s="438"/>
      <c r="J16" s="439"/>
      <c r="K16" s="123"/>
    </row>
    <row r="17">
      <c r="A17" s="124"/>
      <c r="B17" s="436"/>
      <c r="C17" s="437"/>
      <c r="D17" s="438"/>
      <c r="E17" s="439" t="s">
        <v>138</v>
      </c>
      <c r="F17" s="440"/>
      <c r="G17" s="436"/>
      <c r="H17" s="437" t="s">
        <v>530</v>
      </c>
      <c r="I17" s="438"/>
      <c r="J17" s="439"/>
      <c r="K17" s="123"/>
    </row>
    <row r="18">
      <c r="A18" s="124"/>
      <c r="B18" s="436"/>
      <c r="C18" s="437"/>
      <c r="D18" s="438"/>
      <c r="E18" s="439" t="s">
        <v>139</v>
      </c>
      <c r="F18" s="440"/>
      <c r="G18" s="436"/>
      <c r="H18" s="437" t="s">
        <v>531</v>
      </c>
      <c r="I18" s="438"/>
      <c r="J18" s="439"/>
      <c r="K18" s="123"/>
    </row>
    <row r="19">
      <c r="A19" s="124"/>
      <c r="B19" s="436"/>
      <c r="C19" s="437"/>
      <c r="D19" s="438"/>
      <c r="E19" s="439" t="s">
        <v>140</v>
      </c>
      <c r="F19" s="440"/>
      <c r="G19" s="436"/>
      <c r="H19" s="437" t="s">
        <v>532</v>
      </c>
      <c r="I19" s="438"/>
      <c r="J19" s="439"/>
      <c r="K19" s="123"/>
    </row>
    <row r="20">
      <c r="A20" s="124"/>
      <c r="B20" s="436"/>
      <c r="C20" s="437"/>
      <c r="D20" s="438"/>
      <c r="E20" s="439" t="s">
        <v>141</v>
      </c>
      <c r="F20" s="440"/>
      <c r="G20" s="436"/>
      <c r="H20" s="437" t="s">
        <v>533</v>
      </c>
      <c r="I20" s="438"/>
      <c r="J20" s="439"/>
      <c r="K20" s="369"/>
    </row>
    <row r="21">
      <c r="A21" s="124"/>
      <c r="B21" s="436"/>
      <c r="C21" s="437"/>
      <c r="D21" s="438"/>
      <c r="E21" s="439" t="s">
        <v>142</v>
      </c>
      <c r="F21" s="440"/>
      <c r="G21" s="436"/>
      <c r="H21" s="437" t="s">
        <v>534</v>
      </c>
      <c r="I21" s="438"/>
      <c r="J21" s="439"/>
      <c r="K21" s="369"/>
    </row>
    <row r="22">
      <c r="A22" s="124"/>
      <c r="B22" s="436"/>
      <c r="C22" s="437"/>
      <c r="D22" s="438"/>
      <c r="E22" s="439"/>
      <c r="F22" s="440"/>
      <c r="G22" s="436"/>
      <c r="H22" s="437" t="s">
        <v>535</v>
      </c>
      <c r="I22" s="438"/>
      <c r="J22" s="439"/>
      <c r="K22" s="369"/>
    </row>
    <row r="23">
      <c r="A23" s="124"/>
      <c r="B23" s="441"/>
      <c r="C23" s="442"/>
      <c r="D23" s="443"/>
      <c r="E23" s="444"/>
      <c r="F23" s="440"/>
      <c r="G23" s="445"/>
      <c r="H23" s="446" t="s">
        <v>536</v>
      </c>
      <c r="I23" s="447"/>
      <c r="J23" s="448"/>
      <c r="K23" s="369"/>
    </row>
    <row r="24" ht="12.75" customHeight="1">
      <c r="A24" s="169"/>
      <c r="B24" s="449"/>
      <c r="C24" s="449"/>
      <c r="D24" s="449"/>
      <c r="E24" s="449"/>
      <c r="F24" s="420"/>
      <c r="G24" s="450"/>
      <c r="H24" s="450"/>
      <c r="I24" s="450"/>
      <c r="J24" s="450"/>
      <c r="K24" s="451"/>
    </row>
    <row r="25">
      <c r="A25" s="452"/>
      <c r="B25" s="427" t="s">
        <v>188</v>
      </c>
      <c r="C25" s="424"/>
      <c r="D25" s="424"/>
      <c r="E25" s="425"/>
      <c r="F25" s="453"/>
      <c r="G25" s="427" t="s">
        <v>190</v>
      </c>
      <c r="H25" s="424"/>
      <c r="I25" s="424"/>
      <c r="J25" s="425"/>
      <c r="K25" s="454"/>
    </row>
    <row r="26">
      <c r="A26" s="429"/>
      <c r="B26" s="430" t="s">
        <v>537</v>
      </c>
      <c r="C26" s="432" t="s">
        <v>538</v>
      </c>
      <c r="D26" s="432" t="s">
        <v>509</v>
      </c>
      <c r="E26" s="433" t="s">
        <v>539</v>
      </c>
      <c r="F26" s="434"/>
      <c r="G26" s="455" t="s">
        <v>540</v>
      </c>
      <c r="H26" s="431" t="s">
        <v>509</v>
      </c>
      <c r="I26" s="431" t="s">
        <v>539</v>
      </c>
      <c r="J26" s="456"/>
      <c r="K26" s="457"/>
    </row>
    <row r="27">
      <c r="A27" s="119"/>
      <c r="B27" s="458" t="s">
        <v>541</v>
      </c>
      <c r="C27" s="459" t="s">
        <v>542</v>
      </c>
      <c r="D27" s="460" t="s">
        <v>543</v>
      </c>
      <c r="E27" s="461" t="s">
        <v>544</v>
      </c>
      <c r="F27" s="462"/>
      <c r="G27" s="463" t="s">
        <v>545</v>
      </c>
      <c r="H27" s="459" t="s">
        <v>546</v>
      </c>
      <c r="I27" s="460" t="s">
        <v>547</v>
      </c>
      <c r="J27" s="439"/>
      <c r="K27" s="464"/>
    </row>
    <row r="28">
      <c r="A28" s="119"/>
      <c r="B28" s="458" t="s">
        <v>548</v>
      </c>
      <c r="C28" s="459" t="s">
        <v>549</v>
      </c>
      <c r="D28" s="460" t="s">
        <v>550</v>
      </c>
      <c r="E28" s="461" t="s">
        <v>551</v>
      </c>
      <c r="F28" s="462"/>
      <c r="G28" s="463" t="s">
        <v>552</v>
      </c>
      <c r="H28" s="459" t="s">
        <v>553</v>
      </c>
      <c r="I28" s="460" t="s">
        <v>554</v>
      </c>
      <c r="J28" s="439"/>
      <c r="K28" s="464"/>
    </row>
    <row r="29">
      <c r="A29" s="119"/>
      <c r="B29" s="458" t="s">
        <v>555</v>
      </c>
      <c r="C29" s="459" t="s">
        <v>556</v>
      </c>
      <c r="D29" s="460" t="s">
        <v>557</v>
      </c>
      <c r="E29" s="461" t="s">
        <v>558</v>
      </c>
      <c r="F29" s="462"/>
      <c r="G29" s="458" t="s">
        <v>559</v>
      </c>
      <c r="H29" s="459" t="s">
        <v>560</v>
      </c>
      <c r="I29" s="460" t="s">
        <v>561</v>
      </c>
      <c r="J29" s="439"/>
      <c r="K29" s="369"/>
    </row>
    <row r="30">
      <c r="A30" s="119"/>
      <c r="B30" s="458" t="s">
        <v>562</v>
      </c>
      <c r="C30" s="459" t="s">
        <v>563</v>
      </c>
      <c r="D30" s="460" t="s">
        <v>564</v>
      </c>
      <c r="E30" s="461" t="s">
        <v>565</v>
      </c>
      <c r="F30" s="462"/>
      <c r="G30" s="458" t="s">
        <v>566</v>
      </c>
      <c r="H30" s="459" t="s">
        <v>567</v>
      </c>
      <c r="I30" s="460" t="s">
        <v>568</v>
      </c>
      <c r="J30" s="439"/>
      <c r="K30" s="369"/>
    </row>
    <row r="31">
      <c r="A31" s="124"/>
      <c r="B31" s="436"/>
      <c r="C31" s="459" t="s">
        <v>569</v>
      </c>
      <c r="D31" s="460" t="s">
        <v>570</v>
      </c>
      <c r="E31" s="439"/>
      <c r="F31" s="440"/>
      <c r="G31" s="458" t="s">
        <v>571</v>
      </c>
      <c r="H31" s="459" t="s">
        <v>572</v>
      </c>
      <c r="I31" s="460" t="s">
        <v>573</v>
      </c>
      <c r="J31" s="439"/>
      <c r="K31" s="369"/>
    </row>
    <row r="32">
      <c r="A32" s="124"/>
      <c r="B32" s="436"/>
      <c r="C32" s="459" t="s">
        <v>574</v>
      </c>
      <c r="D32" s="460" t="s">
        <v>575</v>
      </c>
      <c r="E32" s="439"/>
      <c r="F32" s="440"/>
      <c r="G32" s="458" t="s">
        <v>576</v>
      </c>
      <c r="H32" s="437"/>
      <c r="I32" s="460" t="s">
        <v>577</v>
      </c>
      <c r="J32" s="439"/>
      <c r="K32" s="369"/>
    </row>
    <row r="33">
      <c r="A33" s="119"/>
      <c r="B33" s="465"/>
      <c r="C33" s="459" t="s">
        <v>578</v>
      </c>
      <c r="D33" s="438"/>
      <c r="E33" s="439"/>
      <c r="F33" s="440"/>
      <c r="G33" s="458" t="s">
        <v>579</v>
      </c>
      <c r="H33" s="437"/>
      <c r="I33" s="460" t="s">
        <v>580</v>
      </c>
      <c r="J33" s="439"/>
      <c r="K33" s="369"/>
    </row>
    <row r="34">
      <c r="A34" s="119"/>
      <c r="B34" s="466"/>
      <c r="C34" s="459" t="s">
        <v>581</v>
      </c>
      <c r="D34" s="438"/>
      <c r="E34" s="439"/>
      <c r="F34" s="440"/>
      <c r="G34" s="458" t="s">
        <v>582</v>
      </c>
      <c r="H34" s="437"/>
      <c r="I34" s="438"/>
      <c r="J34" s="439"/>
      <c r="K34" s="369"/>
    </row>
    <row r="35">
      <c r="A35" s="124"/>
      <c r="B35" s="467"/>
      <c r="C35" s="459" t="s">
        <v>583</v>
      </c>
      <c r="D35" s="438"/>
      <c r="E35" s="439"/>
      <c r="F35" s="440"/>
      <c r="G35" s="458" t="s">
        <v>584</v>
      </c>
      <c r="H35" s="437"/>
      <c r="I35" s="438"/>
      <c r="J35" s="439"/>
      <c r="K35" s="369"/>
    </row>
    <row r="36">
      <c r="A36" s="124"/>
      <c r="B36" s="467"/>
      <c r="C36" s="459" t="s">
        <v>585</v>
      </c>
      <c r="D36" s="438"/>
      <c r="E36" s="439"/>
      <c r="F36" s="440"/>
      <c r="G36" s="463" t="s">
        <v>545</v>
      </c>
      <c r="H36" s="437"/>
      <c r="I36" s="438"/>
      <c r="J36" s="439"/>
      <c r="K36" s="369"/>
    </row>
    <row r="37">
      <c r="A37" s="124"/>
      <c r="B37" s="467"/>
      <c r="C37" s="459" t="s">
        <v>586</v>
      </c>
      <c r="D37" s="438"/>
      <c r="E37" s="439"/>
      <c r="F37" s="440"/>
      <c r="G37" s="458"/>
      <c r="H37" s="437"/>
      <c r="I37" s="438"/>
      <c r="J37" s="439"/>
      <c r="K37" s="369"/>
    </row>
    <row r="38">
      <c r="A38" s="124"/>
      <c r="B38" s="436"/>
      <c r="C38" s="459" t="s">
        <v>587</v>
      </c>
      <c r="D38" s="438"/>
      <c r="E38" s="439"/>
      <c r="F38" s="440"/>
      <c r="G38" s="458"/>
      <c r="H38" s="437"/>
      <c r="I38" s="438"/>
      <c r="J38" s="439"/>
      <c r="K38" s="369"/>
    </row>
    <row r="39">
      <c r="A39" s="124"/>
      <c r="B39" s="436"/>
      <c r="C39" s="459" t="s">
        <v>588</v>
      </c>
      <c r="D39" s="438"/>
      <c r="E39" s="439"/>
      <c r="F39" s="440"/>
      <c r="G39" s="436"/>
      <c r="H39" s="437"/>
      <c r="I39" s="438"/>
      <c r="J39" s="439"/>
      <c r="K39" s="369"/>
    </row>
    <row r="40">
      <c r="A40" s="124"/>
      <c r="B40" s="436"/>
      <c r="C40" s="459" t="s">
        <v>589</v>
      </c>
      <c r="D40" s="438"/>
      <c r="E40" s="439"/>
      <c r="F40" s="440"/>
      <c r="G40" s="436"/>
      <c r="H40" s="437"/>
      <c r="I40" s="438"/>
      <c r="J40" s="439"/>
      <c r="K40" s="369"/>
    </row>
    <row r="41">
      <c r="A41" s="124"/>
      <c r="B41" s="436"/>
      <c r="C41" s="459" t="s">
        <v>590</v>
      </c>
      <c r="D41" s="438"/>
      <c r="E41" s="439"/>
      <c r="F41" s="440"/>
      <c r="G41" s="436"/>
      <c r="H41" s="437"/>
      <c r="I41" s="438"/>
      <c r="J41" s="439"/>
      <c r="K41" s="369"/>
    </row>
    <row r="42">
      <c r="A42" s="124"/>
      <c r="B42" s="445"/>
      <c r="C42" s="468" t="s">
        <v>591</v>
      </c>
      <c r="D42" s="447"/>
      <c r="E42" s="448"/>
      <c r="F42" s="440"/>
      <c r="G42" s="445"/>
      <c r="H42" s="469"/>
      <c r="I42" s="447"/>
      <c r="J42" s="448"/>
      <c r="K42" s="369"/>
    </row>
    <row r="43">
      <c r="A43" s="169"/>
      <c r="B43" s="470"/>
      <c r="C43" s="470"/>
      <c r="D43" s="470"/>
      <c r="E43" s="470"/>
      <c r="F43" s="420"/>
      <c r="G43" s="471"/>
      <c r="H43" s="471"/>
      <c r="I43" s="471"/>
      <c r="J43" s="471"/>
      <c r="K43" s="375"/>
    </row>
  </sheetData>
  <mergeCells count="4">
    <mergeCell ref="B2:E2"/>
    <mergeCell ref="G2:J2"/>
    <mergeCell ref="B25:E25"/>
    <mergeCell ref="G25:J2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0B30"/>
    <outlinePr summaryBelow="0" summaryRight="0"/>
  </sheetPr>
  <sheetViews>
    <sheetView workbookViewId="0"/>
  </sheetViews>
  <sheetFormatPr customHeight="1" defaultColWidth="12.63" defaultRowHeight="15.75"/>
  <cols>
    <col customWidth="1" min="1" max="1" width="2.5"/>
    <col customWidth="1" min="2" max="2" width="39.25"/>
    <col customWidth="1" min="3" max="3" width="69.38"/>
    <col customWidth="1" min="4" max="4" width="2.75"/>
  </cols>
  <sheetData>
    <row r="1">
      <c r="A1" s="472"/>
      <c r="B1" s="473"/>
      <c r="C1" s="473"/>
      <c r="D1" s="299"/>
    </row>
    <row r="2">
      <c r="A2" s="119"/>
      <c r="B2" s="474" t="s">
        <v>592</v>
      </c>
      <c r="C2" s="474"/>
      <c r="D2" s="123"/>
    </row>
    <row r="3">
      <c r="A3" s="119"/>
      <c r="B3" s="475" t="s">
        <v>593</v>
      </c>
      <c r="C3" s="476"/>
      <c r="D3" s="123"/>
    </row>
    <row r="4">
      <c r="A4" s="114"/>
      <c r="B4" s="477"/>
      <c r="C4" s="477"/>
      <c r="D4" s="169"/>
    </row>
    <row r="5">
      <c r="A5" s="119"/>
      <c r="B5" s="478" t="s">
        <v>594</v>
      </c>
      <c r="C5" s="478" t="s">
        <v>595</v>
      </c>
      <c r="D5" s="123"/>
    </row>
    <row r="6">
      <c r="A6" s="119"/>
      <c r="B6" s="479" t="s">
        <v>596</v>
      </c>
      <c r="C6" s="480" t="s">
        <v>597</v>
      </c>
      <c r="D6" s="123"/>
    </row>
    <row r="7">
      <c r="A7" s="119"/>
      <c r="B7" s="479" t="s">
        <v>598</v>
      </c>
      <c r="C7" s="480" t="s">
        <v>599</v>
      </c>
      <c r="D7" s="123"/>
    </row>
    <row r="8">
      <c r="A8" s="119"/>
      <c r="B8" s="481" t="s">
        <v>600</v>
      </c>
      <c r="C8" s="482" t="s">
        <v>601</v>
      </c>
      <c r="D8" s="123"/>
    </row>
    <row r="9">
      <c r="A9" s="114"/>
      <c r="B9" s="483"/>
      <c r="C9" s="292"/>
      <c r="D9" s="169"/>
    </row>
    <row r="10">
      <c r="A10" s="119"/>
      <c r="B10" s="474" t="s">
        <v>602</v>
      </c>
      <c r="C10" s="474" t="s">
        <v>595</v>
      </c>
      <c r="D10" s="123"/>
    </row>
    <row r="11">
      <c r="A11" s="119"/>
      <c r="B11" s="484" t="s">
        <v>603</v>
      </c>
      <c r="C11" s="485" t="s">
        <v>599</v>
      </c>
      <c r="D11" s="123"/>
    </row>
    <row r="12">
      <c r="A12" s="119"/>
      <c r="B12" s="484" t="s">
        <v>604</v>
      </c>
      <c r="C12" s="486"/>
      <c r="D12" s="123"/>
    </row>
    <row r="13">
      <c r="A13" s="119"/>
      <c r="B13" s="484" t="s">
        <v>605</v>
      </c>
      <c r="C13" s="486"/>
      <c r="D13" s="123"/>
    </row>
    <row r="14">
      <c r="A14" s="119"/>
      <c r="B14" s="484" t="s">
        <v>606</v>
      </c>
      <c r="C14" s="486"/>
      <c r="D14" s="123"/>
    </row>
    <row r="15">
      <c r="A15" s="119"/>
      <c r="B15" s="487" t="s">
        <v>607</v>
      </c>
      <c r="C15" s="488" t="s">
        <v>608</v>
      </c>
      <c r="D15" s="123"/>
    </row>
    <row r="16">
      <c r="A16" s="114"/>
      <c r="B16" s="477"/>
      <c r="C16" s="477"/>
      <c r="D16" s="169"/>
    </row>
    <row r="17">
      <c r="A17" s="119"/>
      <c r="B17" s="478" t="s">
        <v>609</v>
      </c>
      <c r="C17" s="478" t="s">
        <v>595</v>
      </c>
      <c r="D17" s="123"/>
    </row>
    <row r="18">
      <c r="A18" s="119"/>
      <c r="B18" s="479" t="s">
        <v>610</v>
      </c>
      <c r="C18" s="480" t="s">
        <v>611</v>
      </c>
      <c r="D18" s="123"/>
    </row>
    <row r="19">
      <c r="A19" s="119"/>
      <c r="B19" s="479" t="s">
        <v>612</v>
      </c>
      <c r="C19" s="480" t="s">
        <v>613</v>
      </c>
      <c r="D19" s="123"/>
    </row>
    <row r="20">
      <c r="A20" s="119"/>
      <c r="B20" s="479" t="s">
        <v>614</v>
      </c>
      <c r="C20" s="480" t="s">
        <v>615</v>
      </c>
      <c r="D20" s="123"/>
    </row>
    <row r="21">
      <c r="A21" s="119"/>
      <c r="B21" s="479" t="s">
        <v>616</v>
      </c>
      <c r="C21" s="480" t="s">
        <v>617</v>
      </c>
      <c r="D21" s="123"/>
    </row>
    <row r="22">
      <c r="A22" s="119"/>
      <c r="B22" s="479" t="s">
        <v>618</v>
      </c>
      <c r="C22" s="480" t="s">
        <v>619</v>
      </c>
      <c r="D22" s="123"/>
    </row>
    <row r="23">
      <c r="A23" s="119"/>
      <c r="B23" s="481" t="s">
        <v>620</v>
      </c>
      <c r="C23" s="482" t="s">
        <v>621</v>
      </c>
      <c r="D23" s="123"/>
    </row>
    <row r="24">
      <c r="A24" s="114"/>
      <c r="B24" s="483"/>
      <c r="C24" s="292"/>
      <c r="D24" s="169"/>
    </row>
    <row r="25">
      <c r="A25" s="119"/>
      <c r="B25" s="478" t="s">
        <v>622</v>
      </c>
      <c r="C25" s="478" t="s">
        <v>595</v>
      </c>
      <c r="D25" s="123"/>
    </row>
    <row r="26">
      <c r="A26" s="119"/>
      <c r="B26" s="489" t="s">
        <v>623</v>
      </c>
      <c r="C26" s="490" t="s">
        <v>624</v>
      </c>
      <c r="D26" s="123"/>
    </row>
    <row r="27">
      <c r="A27" s="119"/>
      <c r="B27" s="489" t="s">
        <v>625</v>
      </c>
      <c r="C27" s="491" t="s">
        <v>626</v>
      </c>
      <c r="D27" s="123"/>
    </row>
    <row r="28">
      <c r="A28" s="119"/>
      <c r="B28" s="489" t="s">
        <v>616</v>
      </c>
      <c r="C28" s="490" t="s">
        <v>627</v>
      </c>
      <c r="D28" s="123"/>
    </row>
    <row r="29">
      <c r="A29" s="119"/>
      <c r="B29" s="489" t="s">
        <v>628</v>
      </c>
      <c r="C29" s="490" t="s">
        <v>629</v>
      </c>
      <c r="D29" s="123"/>
    </row>
    <row r="30">
      <c r="A30" s="119"/>
      <c r="B30" s="489" t="s">
        <v>630</v>
      </c>
      <c r="C30" s="490" t="s">
        <v>631</v>
      </c>
      <c r="D30" s="123"/>
    </row>
    <row r="31">
      <c r="A31" s="119"/>
      <c r="B31" s="492" t="s">
        <v>632</v>
      </c>
      <c r="C31" s="493" t="s">
        <v>633</v>
      </c>
      <c r="D31" s="123"/>
    </row>
    <row r="32">
      <c r="A32" s="494"/>
      <c r="B32" s="495"/>
      <c r="C32" s="355"/>
      <c r="D32" s="29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0B30"/>
    <outlinePr summaryBelow="0" summaryRight="0"/>
  </sheetPr>
  <sheetViews>
    <sheetView workbookViewId="0"/>
  </sheetViews>
  <sheetFormatPr customHeight="1" defaultColWidth="12.63" defaultRowHeight="15.75"/>
  <cols>
    <col customWidth="1" min="1" max="1" width="2.63"/>
    <col customWidth="1" min="10" max="10" width="3.25"/>
  </cols>
  <sheetData>
    <row r="1">
      <c r="A1" s="496"/>
      <c r="B1" s="497"/>
      <c r="C1" s="497"/>
      <c r="D1" s="497"/>
      <c r="E1" s="497"/>
      <c r="F1" s="497"/>
      <c r="G1" s="497"/>
      <c r="H1" s="497"/>
      <c r="I1" s="497"/>
      <c r="J1" s="169"/>
    </row>
    <row r="2">
      <c r="A2" s="498"/>
      <c r="B2" s="499" t="s">
        <v>634</v>
      </c>
      <c r="C2" s="158"/>
      <c r="D2" s="158"/>
      <c r="E2" s="158"/>
      <c r="F2" s="158"/>
      <c r="G2" s="158"/>
      <c r="H2" s="158"/>
      <c r="I2" s="159"/>
      <c r="J2" s="123"/>
    </row>
    <row r="3">
      <c r="A3" s="500"/>
      <c r="B3" s="501" t="s">
        <v>635</v>
      </c>
      <c r="I3" s="502"/>
      <c r="J3" s="123"/>
    </row>
    <row r="4">
      <c r="A4" s="500"/>
      <c r="B4" s="501" t="s">
        <v>636</v>
      </c>
      <c r="I4" s="502"/>
      <c r="J4" s="123"/>
    </row>
    <row r="5">
      <c r="A5" s="503"/>
      <c r="B5" s="504" t="s">
        <v>637</v>
      </c>
      <c r="I5" s="502"/>
      <c r="J5" s="123"/>
    </row>
    <row r="6">
      <c r="A6" s="500"/>
      <c r="B6" s="501" t="s">
        <v>638</v>
      </c>
      <c r="I6" s="502"/>
      <c r="J6" s="123"/>
    </row>
    <row r="7">
      <c r="A7" s="505"/>
      <c r="B7" s="506" t="s">
        <v>639</v>
      </c>
      <c r="I7" s="502"/>
      <c r="J7" s="123"/>
    </row>
    <row r="8">
      <c r="A8" s="500"/>
      <c r="B8" s="501" t="s">
        <v>640</v>
      </c>
      <c r="I8" s="502"/>
      <c r="J8" s="123"/>
    </row>
    <row r="9">
      <c r="A9" s="505"/>
      <c r="B9" s="506" t="s">
        <v>641</v>
      </c>
      <c r="I9" s="502"/>
      <c r="J9" s="123"/>
    </row>
    <row r="10">
      <c r="A10" s="500"/>
      <c r="B10" s="501" t="s">
        <v>642</v>
      </c>
      <c r="I10" s="502"/>
      <c r="J10" s="123"/>
    </row>
    <row r="11">
      <c r="A11" s="500"/>
      <c r="B11" s="501" t="s">
        <v>643</v>
      </c>
      <c r="I11" s="502"/>
      <c r="J11" s="123"/>
    </row>
    <row r="12">
      <c r="A12" s="500"/>
      <c r="B12" s="501" t="s">
        <v>644</v>
      </c>
      <c r="I12" s="502"/>
      <c r="J12" s="123"/>
    </row>
    <row r="13">
      <c r="A13" s="500"/>
      <c r="B13" s="507" t="s">
        <v>645</v>
      </c>
      <c r="C13" s="508"/>
      <c r="D13" s="508"/>
      <c r="E13" s="508"/>
      <c r="F13" s="508"/>
      <c r="G13" s="508"/>
      <c r="H13" s="508"/>
      <c r="I13" s="509"/>
      <c r="J13" s="123"/>
    </row>
    <row r="14">
      <c r="A14" s="169"/>
      <c r="B14" s="355"/>
      <c r="C14" s="355"/>
      <c r="D14" s="355"/>
      <c r="E14" s="355"/>
      <c r="F14" s="355"/>
      <c r="G14" s="355"/>
      <c r="H14" s="355"/>
      <c r="I14" s="355"/>
      <c r="J14" s="169"/>
    </row>
    <row r="15">
      <c r="A15" s="498"/>
      <c r="B15" s="499" t="s">
        <v>646</v>
      </c>
      <c r="C15" s="158"/>
      <c r="D15" s="158"/>
      <c r="E15" s="158"/>
      <c r="F15" s="158"/>
      <c r="G15" s="158"/>
      <c r="H15" s="158"/>
      <c r="I15" s="159"/>
      <c r="J15" s="123"/>
    </row>
    <row r="16">
      <c r="A16" s="510"/>
      <c r="B16" s="511" t="s">
        <v>647</v>
      </c>
      <c r="I16" s="502"/>
      <c r="J16" s="123"/>
    </row>
    <row r="17">
      <c r="A17" s="512"/>
      <c r="B17" s="513" t="s">
        <v>648</v>
      </c>
      <c r="I17" s="502"/>
      <c r="J17" s="123"/>
    </row>
    <row r="18">
      <c r="A18" s="510"/>
      <c r="B18" s="511" t="s">
        <v>649</v>
      </c>
      <c r="I18" s="502"/>
      <c r="J18" s="123"/>
    </row>
    <row r="19">
      <c r="A19" s="500"/>
      <c r="B19" s="501" t="s">
        <v>650</v>
      </c>
      <c r="I19" s="502"/>
      <c r="J19" s="123"/>
    </row>
    <row r="20">
      <c r="A20" s="510"/>
      <c r="B20" s="511" t="s">
        <v>651</v>
      </c>
      <c r="I20" s="502"/>
      <c r="J20" s="123"/>
    </row>
    <row r="21">
      <c r="A21" s="510"/>
      <c r="B21" s="514" t="s">
        <v>652</v>
      </c>
      <c r="C21" s="508"/>
      <c r="D21" s="508"/>
      <c r="E21" s="508"/>
      <c r="F21" s="508"/>
      <c r="G21" s="508"/>
      <c r="H21" s="508"/>
      <c r="I21" s="509"/>
      <c r="J21" s="123"/>
    </row>
    <row r="22">
      <c r="A22" s="169"/>
      <c r="B22" s="355"/>
      <c r="C22" s="355"/>
      <c r="D22" s="355"/>
      <c r="E22" s="355"/>
      <c r="F22" s="355"/>
      <c r="G22" s="355"/>
      <c r="H22" s="355"/>
      <c r="I22" s="355"/>
      <c r="J22" s="169"/>
    </row>
    <row r="23">
      <c r="A23" s="498"/>
      <c r="B23" s="499" t="s">
        <v>653</v>
      </c>
      <c r="C23" s="158"/>
      <c r="D23" s="158"/>
      <c r="E23" s="158"/>
      <c r="F23" s="158"/>
      <c r="G23" s="158"/>
      <c r="H23" s="158"/>
      <c r="I23" s="159"/>
      <c r="J23" s="123"/>
    </row>
    <row r="24">
      <c r="A24" s="515"/>
      <c r="B24" s="516" t="s">
        <v>654</v>
      </c>
      <c r="I24" s="502"/>
      <c r="J24" s="123"/>
    </row>
    <row r="25">
      <c r="A25" s="302"/>
      <c r="B25" s="517" t="s">
        <v>655</v>
      </c>
      <c r="I25" s="502"/>
      <c r="J25" s="123"/>
    </row>
    <row r="26">
      <c r="A26" s="302"/>
      <c r="B26" s="517" t="s">
        <v>656</v>
      </c>
      <c r="I26" s="502"/>
      <c r="J26" s="123"/>
    </row>
    <row r="27">
      <c r="A27" s="302"/>
      <c r="B27" s="517" t="s">
        <v>657</v>
      </c>
      <c r="I27" s="502"/>
      <c r="J27" s="123"/>
    </row>
    <row r="28">
      <c r="A28" s="515"/>
      <c r="B28" s="516" t="s">
        <v>658</v>
      </c>
      <c r="I28" s="502"/>
      <c r="J28" s="123"/>
    </row>
    <row r="29">
      <c r="A29" s="302"/>
      <c r="B29" s="517" t="s">
        <v>659</v>
      </c>
      <c r="I29" s="502"/>
      <c r="J29" s="123"/>
    </row>
    <row r="30">
      <c r="A30" s="302"/>
      <c r="B30" s="517" t="s">
        <v>660</v>
      </c>
      <c r="I30" s="502"/>
      <c r="J30" s="123"/>
    </row>
    <row r="31">
      <c r="A31" s="302"/>
      <c r="B31" s="517" t="s">
        <v>661</v>
      </c>
      <c r="I31" s="502"/>
      <c r="J31" s="123"/>
    </row>
    <row r="32">
      <c r="A32" s="302"/>
      <c r="B32" s="517" t="s">
        <v>662</v>
      </c>
      <c r="I32" s="502"/>
      <c r="J32" s="123"/>
    </row>
    <row r="33">
      <c r="A33" s="302"/>
      <c r="B33" s="517" t="s">
        <v>663</v>
      </c>
      <c r="I33" s="502"/>
      <c r="J33" s="123"/>
    </row>
    <row r="34">
      <c r="A34" s="302"/>
      <c r="B34" s="517" t="s">
        <v>664</v>
      </c>
      <c r="I34" s="502"/>
      <c r="J34" s="123"/>
    </row>
    <row r="35">
      <c r="A35" s="302"/>
      <c r="B35" s="518" t="s">
        <v>665</v>
      </c>
      <c r="C35" s="508"/>
      <c r="D35" s="508"/>
      <c r="E35" s="508"/>
      <c r="F35" s="508"/>
      <c r="G35" s="508"/>
      <c r="H35" s="508"/>
      <c r="I35" s="509"/>
      <c r="J35" s="123"/>
    </row>
    <row r="36">
      <c r="A36" s="169"/>
      <c r="B36" s="355"/>
      <c r="C36" s="355"/>
      <c r="D36" s="355"/>
      <c r="E36" s="355"/>
      <c r="F36" s="355"/>
      <c r="G36" s="355"/>
      <c r="H36" s="355"/>
      <c r="I36" s="355"/>
      <c r="J36" s="169"/>
    </row>
    <row r="37">
      <c r="A37" s="498"/>
      <c r="B37" s="499" t="s">
        <v>666</v>
      </c>
      <c r="C37" s="158"/>
      <c r="D37" s="158"/>
      <c r="E37" s="158"/>
      <c r="F37" s="158"/>
      <c r="G37" s="158"/>
      <c r="H37" s="158"/>
      <c r="I37" s="159"/>
      <c r="J37" s="139"/>
    </row>
    <row r="38">
      <c r="A38" s="302"/>
      <c r="B38" s="517" t="s">
        <v>667</v>
      </c>
      <c r="I38" s="502"/>
      <c r="J38" s="123"/>
    </row>
    <row r="39">
      <c r="A39" s="302"/>
      <c r="B39" s="518" t="s">
        <v>668</v>
      </c>
      <c r="C39" s="508"/>
      <c r="D39" s="508"/>
      <c r="E39" s="508"/>
      <c r="F39" s="508"/>
      <c r="G39" s="508"/>
      <c r="H39" s="508"/>
      <c r="I39" s="509"/>
      <c r="J39" s="123"/>
    </row>
    <row r="40">
      <c r="A40" s="169"/>
      <c r="B40" s="355"/>
      <c r="C40" s="355"/>
      <c r="D40" s="355"/>
      <c r="E40" s="355"/>
      <c r="F40" s="355"/>
      <c r="G40" s="355"/>
      <c r="H40" s="355"/>
      <c r="I40" s="355"/>
      <c r="J40" s="169"/>
    </row>
    <row r="41">
      <c r="A41" s="519"/>
      <c r="B41" s="499" t="s">
        <v>669</v>
      </c>
      <c r="C41" s="158"/>
      <c r="D41" s="158"/>
      <c r="E41" s="158"/>
      <c r="F41" s="158"/>
      <c r="G41" s="158"/>
      <c r="H41" s="158"/>
      <c r="I41" s="159"/>
      <c r="J41" s="123"/>
    </row>
    <row r="42">
      <c r="A42" s="302"/>
      <c r="B42" s="517" t="s">
        <v>670</v>
      </c>
      <c r="I42" s="502"/>
      <c r="J42" s="123"/>
    </row>
    <row r="43">
      <c r="A43" s="302"/>
      <c r="B43" s="517" t="s">
        <v>671</v>
      </c>
      <c r="I43" s="502"/>
      <c r="J43" s="123"/>
    </row>
    <row r="44">
      <c r="A44" s="302"/>
      <c r="B44" s="517" t="s">
        <v>672</v>
      </c>
      <c r="I44" s="502"/>
      <c r="J44" s="123"/>
    </row>
    <row r="45">
      <c r="A45" s="302"/>
      <c r="B45" s="517" t="s">
        <v>673</v>
      </c>
      <c r="I45" s="502"/>
      <c r="J45" s="123"/>
    </row>
    <row r="46">
      <c r="A46" s="302"/>
      <c r="B46" s="518" t="s">
        <v>674</v>
      </c>
      <c r="C46" s="508"/>
      <c r="D46" s="508"/>
      <c r="E46" s="508"/>
      <c r="F46" s="508"/>
      <c r="G46" s="508"/>
      <c r="H46" s="508"/>
      <c r="I46" s="509"/>
      <c r="J46" s="123"/>
    </row>
    <row r="47">
      <c r="A47" s="520"/>
      <c r="B47" s="521"/>
      <c r="C47" s="355"/>
      <c r="D47" s="355"/>
      <c r="E47" s="355"/>
      <c r="F47" s="355"/>
      <c r="G47" s="355"/>
      <c r="H47" s="355"/>
      <c r="I47" s="355"/>
      <c r="J47" s="169"/>
    </row>
    <row r="48">
      <c r="A48" s="498"/>
      <c r="B48" s="499" t="s">
        <v>675</v>
      </c>
      <c r="C48" s="158"/>
      <c r="D48" s="158"/>
      <c r="E48" s="158"/>
      <c r="F48" s="158"/>
      <c r="G48" s="158"/>
      <c r="H48" s="158"/>
      <c r="I48" s="159"/>
      <c r="J48" s="123"/>
    </row>
    <row r="49">
      <c r="A49" s="302"/>
      <c r="B49" s="517" t="s">
        <v>676</v>
      </c>
      <c r="I49" s="502"/>
      <c r="J49" s="123"/>
    </row>
    <row r="50">
      <c r="A50" s="302"/>
      <c r="B50" s="517" t="s">
        <v>677</v>
      </c>
      <c r="I50" s="502"/>
      <c r="J50" s="123"/>
    </row>
    <row r="51">
      <c r="A51" s="302"/>
      <c r="B51" s="517" t="s">
        <v>678</v>
      </c>
      <c r="I51" s="502"/>
      <c r="J51" s="123"/>
    </row>
    <row r="52">
      <c r="A52" s="302"/>
      <c r="B52" s="517" t="s">
        <v>679</v>
      </c>
      <c r="I52" s="502"/>
      <c r="J52" s="123"/>
    </row>
    <row r="53">
      <c r="A53" s="302"/>
      <c r="B53" s="518" t="s">
        <v>680</v>
      </c>
      <c r="C53" s="508"/>
      <c r="D53" s="508"/>
      <c r="E53" s="508"/>
      <c r="F53" s="508"/>
      <c r="G53" s="508"/>
      <c r="H53" s="508"/>
      <c r="I53" s="509"/>
      <c r="J53" s="123"/>
    </row>
    <row r="54">
      <c r="A54" s="169"/>
      <c r="B54" s="355"/>
      <c r="C54" s="355"/>
      <c r="D54" s="355"/>
      <c r="E54" s="355"/>
      <c r="F54" s="355"/>
      <c r="G54" s="355"/>
      <c r="H54" s="355"/>
      <c r="I54" s="355"/>
      <c r="J54" s="169"/>
    </row>
    <row r="55">
      <c r="A55" s="519"/>
      <c r="B55" s="499" t="s">
        <v>681</v>
      </c>
      <c r="C55" s="158"/>
      <c r="D55" s="158"/>
      <c r="E55" s="158"/>
      <c r="F55" s="158"/>
      <c r="G55" s="158"/>
      <c r="H55" s="158"/>
      <c r="I55" s="159"/>
      <c r="J55" s="123"/>
    </row>
    <row r="56">
      <c r="A56" s="302"/>
      <c r="B56" s="517" t="s">
        <v>682</v>
      </c>
      <c r="I56" s="502"/>
      <c r="J56" s="123"/>
    </row>
    <row r="57">
      <c r="A57" s="302"/>
      <c r="B57" s="517" t="s">
        <v>683</v>
      </c>
      <c r="I57" s="502"/>
      <c r="J57" s="123"/>
    </row>
    <row r="58">
      <c r="A58" s="302"/>
      <c r="B58" s="517" t="s">
        <v>684</v>
      </c>
      <c r="I58" s="502"/>
      <c r="J58" s="123"/>
    </row>
    <row r="59">
      <c r="A59" s="302"/>
      <c r="B59" s="517" t="s">
        <v>685</v>
      </c>
      <c r="I59" s="502"/>
      <c r="J59" s="123"/>
    </row>
    <row r="60">
      <c r="A60" s="302"/>
      <c r="B60" s="518" t="s">
        <v>686</v>
      </c>
      <c r="C60" s="508"/>
      <c r="D60" s="508"/>
      <c r="E60" s="508"/>
      <c r="F60" s="508"/>
      <c r="G60" s="508"/>
      <c r="H60" s="508"/>
      <c r="I60" s="509"/>
      <c r="J60" s="123"/>
    </row>
    <row r="61">
      <c r="A61" s="169"/>
      <c r="B61" s="355"/>
      <c r="C61" s="355"/>
      <c r="D61" s="355"/>
      <c r="E61" s="355"/>
      <c r="F61" s="355"/>
      <c r="G61" s="355"/>
      <c r="H61" s="355"/>
      <c r="I61" s="355"/>
      <c r="J61" s="169"/>
    </row>
    <row r="62">
      <c r="A62" s="124"/>
      <c r="B62" s="499" t="s">
        <v>687</v>
      </c>
      <c r="C62" s="158"/>
      <c r="D62" s="158"/>
      <c r="E62" s="158"/>
      <c r="F62" s="158"/>
      <c r="G62" s="158"/>
      <c r="H62" s="158"/>
      <c r="I62" s="159"/>
      <c r="J62" s="123"/>
    </row>
    <row r="63">
      <c r="A63" s="124"/>
      <c r="B63" s="517" t="s">
        <v>688</v>
      </c>
      <c r="I63" s="502"/>
      <c r="J63" s="123"/>
    </row>
    <row r="64">
      <c r="A64" s="124"/>
      <c r="B64" s="517" t="s">
        <v>689</v>
      </c>
      <c r="I64" s="502"/>
      <c r="J64" s="123"/>
    </row>
    <row r="65">
      <c r="A65" s="124"/>
      <c r="B65" s="484" t="s">
        <v>690</v>
      </c>
      <c r="I65" s="502"/>
      <c r="J65" s="123"/>
    </row>
    <row r="66">
      <c r="A66" s="124"/>
      <c r="B66" s="517" t="s">
        <v>691</v>
      </c>
      <c r="I66" s="502"/>
      <c r="J66" s="123"/>
    </row>
    <row r="67">
      <c r="A67" s="124"/>
      <c r="B67" s="516" t="s">
        <v>692</v>
      </c>
      <c r="I67" s="502"/>
      <c r="J67" s="123"/>
    </row>
    <row r="68">
      <c r="A68" s="124"/>
      <c r="B68" s="517" t="s">
        <v>693</v>
      </c>
      <c r="I68" s="502"/>
      <c r="J68" s="123"/>
    </row>
    <row r="69">
      <c r="A69" s="124"/>
      <c r="B69" s="516" t="s">
        <v>694</v>
      </c>
      <c r="I69" s="502"/>
      <c r="J69" s="123"/>
    </row>
    <row r="70">
      <c r="A70" s="302"/>
      <c r="B70" s="517" t="s">
        <v>695</v>
      </c>
      <c r="I70" s="502"/>
      <c r="J70" s="123"/>
    </row>
    <row r="71">
      <c r="A71" s="302"/>
      <c r="B71" s="517" t="s">
        <v>696</v>
      </c>
      <c r="I71" s="502"/>
      <c r="J71" s="123"/>
    </row>
    <row r="72">
      <c r="A72" s="302"/>
      <c r="B72" s="518" t="s">
        <v>697</v>
      </c>
      <c r="C72" s="508"/>
      <c r="D72" s="508"/>
      <c r="E72" s="508"/>
      <c r="F72" s="508"/>
      <c r="G72" s="508"/>
      <c r="H72" s="508"/>
      <c r="I72" s="509"/>
      <c r="J72" s="123"/>
    </row>
    <row r="73">
      <c r="A73" s="169"/>
      <c r="B73" s="299"/>
      <c r="C73" s="299"/>
      <c r="D73" s="299"/>
      <c r="E73" s="299"/>
      <c r="F73" s="299"/>
      <c r="G73" s="299"/>
      <c r="H73" s="299"/>
      <c r="I73" s="299"/>
      <c r="J73" s="169"/>
    </row>
  </sheetData>
  <mergeCells count="64">
    <mergeCell ref="B65:I65"/>
    <mergeCell ref="B66:I66"/>
    <mergeCell ref="B67:I67"/>
    <mergeCell ref="B68:I68"/>
    <mergeCell ref="B69:I69"/>
    <mergeCell ref="B70:I70"/>
    <mergeCell ref="B71:I71"/>
    <mergeCell ref="B72:I72"/>
    <mergeCell ref="B57:I57"/>
    <mergeCell ref="B58:I58"/>
    <mergeCell ref="B59:I59"/>
    <mergeCell ref="B60:I60"/>
    <mergeCell ref="B62:I62"/>
    <mergeCell ref="B63:I63"/>
    <mergeCell ref="B64:I64"/>
    <mergeCell ref="B2:I2"/>
    <mergeCell ref="B3:I3"/>
    <mergeCell ref="B4:I4"/>
    <mergeCell ref="B5:I5"/>
    <mergeCell ref="B6:I6"/>
    <mergeCell ref="B7:I7"/>
    <mergeCell ref="B8:I8"/>
    <mergeCell ref="B9:I9"/>
    <mergeCell ref="B10:I10"/>
    <mergeCell ref="B11:I11"/>
    <mergeCell ref="B12:I12"/>
    <mergeCell ref="B13:I13"/>
    <mergeCell ref="B15:I15"/>
    <mergeCell ref="B16:I16"/>
    <mergeCell ref="B17:I17"/>
    <mergeCell ref="B18:I18"/>
    <mergeCell ref="B19:I19"/>
    <mergeCell ref="B20:I20"/>
    <mergeCell ref="B21:I21"/>
    <mergeCell ref="B23:I23"/>
    <mergeCell ref="B24:I24"/>
    <mergeCell ref="B25:I25"/>
    <mergeCell ref="B26:I26"/>
    <mergeCell ref="B27:I27"/>
    <mergeCell ref="B28:I28"/>
    <mergeCell ref="B29:I29"/>
    <mergeCell ref="B30:I30"/>
    <mergeCell ref="B31:I31"/>
    <mergeCell ref="B32:I32"/>
    <mergeCell ref="B33:I33"/>
    <mergeCell ref="B34:I34"/>
    <mergeCell ref="B35:I35"/>
    <mergeCell ref="B37:I37"/>
    <mergeCell ref="B38:I38"/>
    <mergeCell ref="B39:I39"/>
    <mergeCell ref="B41:I41"/>
    <mergeCell ref="B42:I42"/>
    <mergeCell ref="B43:I43"/>
    <mergeCell ref="B44:I44"/>
    <mergeCell ref="B45:I45"/>
    <mergeCell ref="B46:I46"/>
    <mergeCell ref="B48:I48"/>
    <mergeCell ref="B49:I49"/>
    <mergeCell ref="B50:I50"/>
    <mergeCell ref="B51:I51"/>
    <mergeCell ref="B52:I52"/>
    <mergeCell ref="B53:I53"/>
    <mergeCell ref="B55:I55"/>
    <mergeCell ref="B56:I56"/>
  </mergeCells>
  <hyperlinks>
    <hyperlink r:id="rId1" ref="B17"/>
  </hyperlinks>
  <drawing r:id="rId2"/>
</worksheet>
</file>